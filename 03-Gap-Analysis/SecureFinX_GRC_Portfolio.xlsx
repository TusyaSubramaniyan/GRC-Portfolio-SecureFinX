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Instructions" sheetId="1" state="visible" r:id="rId1"/>
    <sheet xmlns:r="http://schemas.openxmlformats.org/officeDocument/2006/relationships" name="📊 Risk Register" sheetId="2" state="visible" r:id="rId2"/>
    <sheet xmlns:r="http://schemas.openxmlformats.org/officeDocument/2006/relationships" name="🔍 Gap Analysis" sheetId="3" state="visible" r:id="rId3"/>
    <sheet xmlns:r="http://schemas.openxmlformats.org/officeDocument/2006/relationships" name="📄 Statement of Applicability" sheetId="4" state="visible" r:id="rId4"/>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FFFFFF"/>
      <sz val="14"/>
    </font>
    <font>
      <name val="Arial"/>
      <i val="1"/>
      <color rgb="00555555"/>
      <sz val="10"/>
    </font>
    <font>
      <name val="Arial"/>
      <color rgb="001C1C1C"/>
      <sz val="10"/>
    </font>
    <font>
      <name val="Arial"/>
      <b val="1"/>
      <color rgb="001A3A5C"/>
      <sz val="11"/>
    </font>
    <font>
      <name val="Arial"/>
      <b val="1"/>
      <color rgb="00FFFFFF"/>
      <sz val="13"/>
    </font>
    <font>
      <name val="Arial"/>
      <i val="1"/>
      <color rgb="00555555"/>
      <sz val="9"/>
    </font>
    <font>
      <name val="Arial"/>
      <b val="1"/>
      <color rgb="001A3A5C"/>
      <sz val="10"/>
    </font>
    <font>
      <name val="Arial"/>
      <b val="1"/>
      <color rgb="00FFFFFF"/>
      <sz val="9"/>
    </font>
    <font>
      <name val="Arial"/>
      <color rgb="001C1C1C"/>
      <sz val="9"/>
    </font>
    <font>
      <name val="Arial"/>
      <b val="1"/>
      <color rgb="001C1C1C"/>
      <sz val="9"/>
    </font>
    <font>
      <name val="Arial"/>
      <sz val="9"/>
    </font>
    <font>
      <name val="Arial"/>
      <i val="1"/>
      <color rgb="00555555"/>
      <sz val="8"/>
    </font>
    <font>
      <name val="Arial"/>
      <b val="1"/>
      <color rgb="001A5276"/>
      <sz val="9"/>
    </font>
    <font>
      <name val="Arial"/>
      <b val="1"/>
      <color rgb="001D6A3A"/>
      <sz val="9"/>
    </font>
    <font>
      <name val="Arial"/>
      <b val="1"/>
      <color rgb="007E5109"/>
      <sz val="9"/>
    </font>
    <font>
      <name val="Arial"/>
      <b val="1"/>
      <color rgb="007B241C"/>
      <sz val="9"/>
    </font>
  </fonts>
  <fills count="12">
    <fill>
      <patternFill/>
    </fill>
    <fill>
      <patternFill patternType="gray125"/>
    </fill>
    <fill>
      <patternFill patternType="solid">
        <fgColor rgb="001A3A5C"/>
      </patternFill>
    </fill>
    <fill>
      <patternFill patternType="solid">
        <fgColor rgb="00D6E4F0"/>
      </patternFill>
    </fill>
    <fill>
      <patternFill patternType="solid">
        <fgColor rgb="00D4EFDF"/>
      </patternFill>
    </fill>
    <fill>
      <patternFill patternType="solid">
        <fgColor rgb="00FAD7A0"/>
      </patternFill>
    </fill>
    <fill>
      <patternFill patternType="solid">
        <fgColor rgb="00F9CBA5"/>
      </patternFill>
    </fill>
    <fill>
      <patternFill patternType="solid">
        <fgColor rgb="00FADBD8"/>
      </patternFill>
    </fill>
    <fill>
      <patternFill patternType="solid">
        <fgColor rgb="00F2F3F4"/>
      </patternFill>
    </fill>
    <fill>
      <patternFill patternType="solid">
        <fgColor rgb="00FFFFFF"/>
      </patternFill>
    </fill>
    <fill>
      <patternFill patternType="solid">
        <fgColor rgb="00D6EAF8"/>
      </patternFill>
    </fill>
    <fill>
      <patternFill patternType="solid">
        <fgColor rgb="00D5F5E3"/>
      </patternFill>
    </fill>
  </fills>
  <borders count="3">
    <border>
      <left/>
      <right/>
      <top/>
      <bottom/>
      <diagonal/>
    </border>
    <border>
      <left style="thin">
        <color rgb="00CCCCCC"/>
      </left>
      <right style="thin">
        <color rgb="00CCCCCC"/>
      </right>
      <top style="medium">
        <color rgb="001A3A5C"/>
      </top>
      <bottom style="medium">
        <color rgb="001A3A5C"/>
      </bottom>
    </border>
    <border>
      <left style="thin">
        <color rgb="00CCCCCC"/>
      </left>
      <right style="thin">
        <color rgb="00CCCCCC"/>
      </right>
      <top style="thin">
        <color rgb="00CCCCCC"/>
      </top>
      <bottom style="thin">
        <color rgb="00CCCCCC"/>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3" borderId="0" applyAlignment="1" pivotButton="0" quotePrefix="0" xfId="0">
      <alignment horizontal="left" vertical="center" wrapText="1"/>
    </xf>
    <xf numFmtId="0" fontId="3" fillId="0" borderId="0" applyAlignment="1" pivotButton="0" quotePrefix="0" xfId="0">
      <alignment horizontal="left" vertical="center" wrapText="1" indent="1"/>
    </xf>
    <xf numFmtId="0" fontId="3" fillId="4" borderId="0" applyAlignment="1" pivotButton="0" quotePrefix="0" xfId="0">
      <alignment horizontal="left" vertical="center" wrapText="1"/>
    </xf>
    <xf numFmtId="0" fontId="3" fillId="5" borderId="0" applyAlignment="1" pivotButton="0" quotePrefix="0" xfId="0">
      <alignment horizontal="left" vertical="center" wrapText="1"/>
    </xf>
    <xf numFmtId="0" fontId="3" fillId="6" borderId="0" applyAlignment="1" pivotButton="0" quotePrefix="0" xfId="0">
      <alignment horizontal="left" vertical="center" wrapText="1"/>
    </xf>
    <xf numFmtId="0" fontId="3" fillId="7" borderId="0" applyAlignment="1" pivotButton="0" quotePrefix="0" xfId="0">
      <alignment horizontal="left" vertical="center" wrapText="1"/>
    </xf>
    <xf numFmtId="0" fontId="5" fillId="2" borderId="0" applyAlignment="1" pivotButton="0" quotePrefix="0" xfId="0">
      <alignment horizontal="center" vertical="center" wrapText="1"/>
    </xf>
    <xf numFmtId="0" fontId="6" fillId="0" borderId="0" applyAlignment="1" pivotButton="0" quotePrefix="0" xfId="0">
      <alignment horizontal="center" vertical="center" wrapText="1"/>
    </xf>
    <xf numFmtId="0" fontId="7" fillId="3" borderId="0" applyAlignment="1" pivotButton="0" quotePrefix="0" xfId="0">
      <alignment horizontal="left" vertical="center" wrapText="1"/>
    </xf>
    <xf numFmtId="0" fontId="8" fillId="2" borderId="1" applyAlignment="1" pivotButton="0" quotePrefix="0" xfId="0">
      <alignment horizontal="center" vertical="center" wrapText="1"/>
    </xf>
    <xf numFmtId="0" fontId="9" fillId="8" borderId="2" applyAlignment="1" pivotButton="0" quotePrefix="0" xfId="0">
      <alignment horizontal="center" vertical="center" wrapText="1"/>
    </xf>
    <xf numFmtId="0" fontId="9" fillId="8" borderId="2" applyAlignment="1" pivotButton="0" quotePrefix="0" xfId="0">
      <alignment horizontal="left" vertical="center" wrapText="1"/>
    </xf>
    <xf numFmtId="0" fontId="10" fillId="7" borderId="2" applyAlignment="1" pivotButton="0" quotePrefix="0" xfId="0">
      <alignment horizontal="center" vertical="center" wrapText="1"/>
    </xf>
    <xf numFmtId="0" fontId="9" fillId="9" borderId="2" applyAlignment="1" pivotButton="0" quotePrefix="0" xfId="0">
      <alignment horizontal="center" vertical="center" wrapText="1"/>
    </xf>
    <xf numFmtId="0" fontId="9" fillId="9" borderId="2" applyAlignment="1" pivotButton="0" quotePrefix="0" xfId="0">
      <alignment horizontal="left" vertical="center" wrapText="1"/>
    </xf>
    <xf numFmtId="0" fontId="10" fillId="6" borderId="2" applyAlignment="1" pivotButton="0" quotePrefix="0" xfId="0">
      <alignment horizontal="center" vertical="center" wrapText="1"/>
    </xf>
    <xf numFmtId="0" fontId="10" fillId="5" borderId="2" applyAlignment="1" pivotButton="0" quotePrefix="0" xfId="0">
      <alignment horizontal="center" vertical="center" wrapText="1"/>
    </xf>
    <xf numFmtId="0" fontId="10" fillId="4" borderId="2" applyAlignment="1" pivotButton="0" quotePrefix="0" xfId="0">
      <alignment horizontal="center" vertical="center" wrapText="1"/>
    </xf>
    <xf numFmtId="0" fontId="11" fillId="8" borderId="2" applyAlignment="1" pivotButton="0" quotePrefix="0" xfId="0">
      <alignment horizontal="center" vertical="center" wrapText="1"/>
    </xf>
    <xf numFmtId="0" fontId="11" fillId="8" borderId="2" applyAlignment="1" pivotButton="0" quotePrefix="0" xfId="0">
      <alignment horizontal="left" vertical="center" wrapText="1"/>
    </xf>
    <xf numFmtId="0" fontId="11" fillId="9" borderId="2" applyAlignment="1" pivotButton="0" quotePrefix="0" xfId="0">
      <alignment horizontal="center" vertical="center" wrapText="1"/>
    </xf>
    <xf numFmtId="0" fontId="11" fillId="9" borderId="2" applyAlignment="1" pivotButton="0" quotePrefix="0" xfId="0">
      <alignment horizontal="left" vertical="center" wrapText="1"/>
    </xf>
    <xf numFmtId="0" fontId="12" fillId="0" borderId="0" applyAlignment="1" pivotButton="0" quotePrefix="0" xfId="0">
      <alignment horizontal="center" vertical="center" wrapText="1"/>
    </xf>
    <xf numFmtId="0" fontId="6" fillId="0" borderId="0" applyAlignment="1" pivotButton="0" quotePrefix="0" xfId="0">
      <alignment horizontal="left" vertical="center" wrapText="1"/>
    </xf>
    <xf numFmtId="0" fontId="7" fillId="3" borderId="0" applyAlignment="1" pivotButton="0" quotePrefix="0" xfId="0">
      <alignment horizontal="center" vertical="center" wrapText="1"/>
    </xf>
    <xf numFmtId="0" fontId="8" fillId="2" borderId="2" applyAlignment="1" pivotButton="0" quotePrefix="0" xfId="0">
      <alignment horizontal="center" vertical="center" wrapText="1"/>
    </xf>
    <xf numFmtId="0" fontId="13" fillId="10" borderId="2" applyAlignment="1" pivotButton="0" quotePrefix="0" xfId="0">
      <alignment horizontal="center" vertical="center" wrapText="1"/>
    </xf>
    <xf numFmtId="0" fontId="9" fillId="7" borderId="2" applyAlignment="1" pivotButton="0" quotePrefix="0" xfId="0">
      <alignment horizontal="center" vertical="center" wrapText="1"/>
    </xf>
    <xf numFmtId="0" fontId="14" fillId="11" borderId="2" applyAlignment="1" pivotButton="0" quotePrefix="0" xfId="0">
      <alignment horizontal="center" vertical="center" wrapText="1"/>
    </xf>
    <xf numFmtId="0" fontId="15" fillId="5" borderId="2" applyAlignment="1" pivotButton="0" quotePrefix="0" xfId="0">
      <alignment horizontal="center" vertical="center" wrapText="1"/>
    </xf>
    <xf numFmtId="0" fontId="16" fillId="7" borderId="2" applyAlignment="1" pivotButton="0" quotePrefix="0" xfId="0">
      <alignment horizontal="center"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24"/>
  <sheetViews>
    <sheetView showGridLines="0" workbookViewId="0">
      <selection activeCell="A1" sqref="A1"/>
    </sheetView>
  </sheetViews>
  <sheetFormatPr baseColWidth="8" defaultRowHeight="15"/>
  <cols>
    <col width="3" customWidth="1" min="1" max="1"/>
    <col width="60" customWidth="1" min="2" max="2"/>
    <col width="35" customWidth="1" min="3" max="3"/>
  </cols>
  <sheetData>
    <row r="1" ht="36" customHeight="1">
      <c r="B1" s="1" t="inlineStr">
        <is>
          <t>SecureFinX GRC Portfolio — Risk Register</t>
        </is>
      </c>
    </row>
    <row r="2" ht="22" customHeight="1">
      <c r="B2" s="2" t="inlineStr">
        <is>
          <t>Prepared by: Tusya Subramaniyan  |  Role: GRC Consultant  |  Client: SecureFinX Pvt. Ltd.</t>
        </is>
      </c>
    </row>
    <row r="3" ht="22" customHeight="1">
      <c r="B3" s="3" t="inlineStr"/>
    </row>
    <row r="4" ht="26" customHeight="1">
      <c r="B4" s="4" t="inlineStr">
        <is>
          <t>HOW TO USE THIS WORKBOOK</t>
        </is>
      </c>
    </row>
    <row r="5" ht="22" customHeight="1">
      <c r="B5" s="5" t="inlineStr">
        <is>
          <t>Step 1 — Go to the 'Risk Register' sheet. Read the pre-filled example risks carefully.</t>
        </is>
      </c>
    </row>
    <row r="6" ht="22" customHeight="1">
      <c r="B6" s="5" t="inlineStr">
        <is>
          <t>Step 2 — For each risk, understand WHY the Likelihood and Impact scores are what they are.</t>
        </is>
      </c>
    </row>
    <row r="7" ht="22" customHeight="1">
      <c r="B7" s="5" t="inlineStr">
        <is>
          <t>Step 3 — Add your own risks (rows 27 onwards). Aim for at least 20 total risks.</t>
        </is>
      </c>
    </row>
    <row r="8" ht="22" customHeight="1">
      <c r="B8" s="5" t="inlineStr">
        <is>
          <t>Step 4 — Risk Score auto-calculates using the formula =Likelihood × Impact.</t>
        </is>
      </c>
    </row>
    <row r="9" ht="22" customHeight="1">
      <c r="B9" s="5" t="inlineStr">
        <is>
          <t>Step 5 — Choose a Risk Treatment (Treat/Tolerate/Transfer/Terminate) for each risk.</t>
        </is>
      </c>
    </row>
    <row r="10" ht="22" customHeight="1">
      <c r="B10" s="5" t="inlineStr">
        <is>
          <t>Step 6 — Go to 'Risk Heat Map' sheet to visualise your risk landscape.</t>
        </is>
      </c>
    </row>
    <row r="11" ht="22" customHeight="1">
      <c r="B11" s="5" t="inlineStr">
        <is>
          <t>Step 7 — Go to 'Gap Analysis' sheet to assess ISO 27001 control compliance.</t>
        </is>
      </c>
    </row>
    <row r="12" ht="22" customHeight="1">
      <c r="B12" s="3" t="inlineStr"/>
    </row>
    <row r="13" ht="26" customHeight="1">
      <c r="B13" s="4" t="inlineStr">
        <is>
          <t>RISK SCORING GUIDE</t>
        </is>
      </c>
    </row>
    <row r="14" ht="20" customHeight="1">
      <c r="B14" s="6" t="inlineStr">
        <is>
          <t xml:space="preserve">  Score 1 — Rare / Negligible  →  Risk Score 1–6 = LOW</t>
        </is>
      </c>
    </row>
    <row r="15" ht="20" customHeight="1">
      <c r="B15" s="7" t="inlineStr">
        <is>
          <t xml:space="preserve">  Score 2 — Unlikely / Minor  →  Risk Score 7–12 = MEDIUM</t>
        </is>
      </c>
    </row>
    <row r="16" ht="20" customHeight="1">
      <c r="B16" s="8" t="inlineStr">
        <is>
          <t xml:space="preserve">  Score 3 — Possible / Moderate  →  Risk Score 13–16 = HIGH</t>
        </is>
      </c>
    </row>
    <row r="17" ht="20" customHeight="1">
      <c r="B17" s="9" t="inlineStr">
        <is>
          <t xml:space="preserve">  Score 4 — Likely / Major  →  Risk Score 17–20 = CRITICAL</t>
        </is>
      </c>
    </row>
    <row r="18" ht="20" customHeight="1">
      <c r="B18" s="9" t="inlineStr">
        <is>
          <t xml:space="preserve">  Score 5 — Almost Certain / Catastrophic  →  Risk Score 21–25 = CRITICAL</t>
        </is>
      </c>
    </row>
    <row r="19" ht="22" customHeight="1">
      <c r="B19" s="3" t="inlineStr"/>
    </row>
    <row r="20" ht="26" customHeight="1">
      <c r="B20" s="4" t="inlineStr">
        <is>
          <t>RISK TREATMENT OPTIONS</t>
        </is>
      </c>
    </row>
    <row r="21" ht="20" customHeight="1">
      <c r="B21" s="3" t="inlineStr">
        <is>
          <t xml:space="preserve">  TREAT:  Implement a control to reduce the likelihood or impact of the risk</t>
        </is>
      </c>
    </row>
    <row r="22" ht="20" customHeight="1">
      <c r="B22" s="3" t="inlineStr">
        <is>
          <t xml:space="preserve">  TOLERATE:  Accept the risk — cost of fixing outweighs the potential impact</t>
        </is>
      </c>
    </row>
    <row r="23" ht="20" customHeight="1">
      <c r="B23" s="3" t="inlineStr">
        <is>
          <t xml:space="preserve">  TRANSFER:  Shift the risk — e.g. cyber insurance, vendor contract SLA</t>
        </is>
      </c>
    </row>
    <row r="24" ht="20" customHeight="1">
      <c r="B24" s="3" t="inlineStr">
        <is>
          <t xml:space="preserve">  TERMINATE:  Stop the activity that creates the risk entirely</t>
        </is>
      </c>
    </row>
  </sheetData>
  <mergeCells count="6">
    <mergeCell ref="B16:C16"/>
    <mergeCell ref="B15:C15"/>
    <mergeCell ref="B14:C14"/>
    <mergeCell ref="B17:C17"/>
    <mergeCell ref="B18:C18"/>
    <mergeCell ref="B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
  <sheetViews>
    <sheetView showGridLines="0" workbookViewId="0">
      <selection activeCell="A1" sqref="A1"/>
    </sheetView>
  </sheetViews>
  <sheetFormatPr baseColWidth="8" defaultRowHeight="15"/>
  <cols>
    <col width="5" customWidth="1" min="1" max="1"/>
    <col width="6" customWidth="1" min="2" max="2"/>
    <col width="28" customWidth="1" min="3" max="3"/>
    <col width="22" customWidth="1" min="4" max="4"/>
    <col width="22" customWidth="1" min="5" max="5"/>
    <col width="22" customWidth="1" min="6" max="6"/>
    <col width="14" customWidth="1" min="7" max="7"/>
    <col width="14" customWidth="1" min="8" max="8"/>
    <col width="14" customWidth="1" min="9" max="9"/>
    <col width="18" customWidth="1" min="10" max="10"/>
    <col width="22" customWidth="1" min="11" max="11"/>
    <col width="22" customWidth="1" min="12" max="12"/>
    <col width="22" customWidth="1" min="13" max="13"/>
  </cols>
  <sheetData>
    <row r="1" ht="34" customHeight="1">
      <c r="A1" s="10" t="inlineStr">
        <is>
          <t>SecureFinX Pvt. Ltd. — Information Security Risk Register</t>
        </is>
      </c>
    </row>
    <row r="2" ht="18" customHeight="1">
      <c r="A2" s="11" t="inlineStr">
        <is>
          <t>GRC Portfolio Project | Prepared by: Tusya Subramaniyan | Version 1.0</t>
        </is>
      </c>
    </row>
    <row r="3" ht="20" customHeight="1">
      <c r="A3" s="12" t="inlineStr">
        <is>
          <t>RISK REGISTER — Risk Assessment &amp; Treatment Plan</t>
        </is>
      </c>
    </row>
    <row r="4" ht="36" customHeight="1">
      <c r="A4" s="13" t="inlineStr">
        <is>
          <t>#</t>
        </is>
      </c>
      <c r="B4" s="13" t="inlineStr">
        <is>
          <t>ID</t>
        </is>
      </c>
      <c r="C4" s="13" t="inlineStr">
        <is>
          <t>Asset / Process</t>
        </is>
      </c>
      <c r="D4" s="13" t="inlineStr">
        <is>
          <t>Threat Description</t>
        </is>
      </c>
      <c r="E4" s="13" t="inlineStr">
        <is>
          <t>Vulnerability</t>
        </is>
      </c>
      <c r="F4" s="13" t="inlineStr">
        <is>
          <t>Potential Impact</t>
        </is>
      </c>
      <c r="G4" s="13" t="inlineStr">
        <is>
          <t>Likelihood
(1–5)</t>
        </is>
      </c>
      <c r="H4" s="13" t="inlineStr">
        <is>
          <t>Impact
(1–5)</t>
        </is>
      </c>
      <c r="I4" s="13" t="inlineStr">
        <is>
          <t>Risk
Score</t>
        </is>
      </c>
      <c r="J4" s="13" t="inlineStr">
        <is>
          <t>Risk Level</t>
        </is>
      </c>
      <c r="K4" s="13" t="inlineStr">
        <is>
          <t>Risk Treatment</t>
        </is>
      </c>
      <c r="L4" s="13" t="inlineStr">
        <is>
          <t>Control / Action</t>
        </is>
      </c>
      <c r="M4" s="13" t="inlineStr">
        <is>
          <t>Risk Owner</t>
        </is>
      </c>
    </row>
    <row r="5" ht="52" customHeight="1">
      <c r="A5" s="14" t="n">
        <v>1</v>
      </c>
      <c r="B5" s="14" t="inlineStr">
        <is>
          <t>R001</t>
        </is>
      </c>
      <c r="C5" s="15" t="inlineStr">
        <is>
          <t>Customer KYC Data Store</t>
        </is>
      </c>
      <c r="D5" s="15" t="inlineStr">
        <is>
          <t>Unauthorised access to Aadhaar/PAN data stored on AWS S3</t>
        </is>
      </c>
      <c r="E5" s="15" t="inlineStr">
        <is>
          <t>S3 bucket misconfiguration — no bucket policy, public access not explicitly blocked</t>
        </is>
      </c>
      <c r="F5" s="15" t="inlineStr">
        <is>
          <t>Mass data breach — regulatory fines under DPDP Act 2023 + RBI penalties + reputational damage</t>
        </is>
      </c>
      <c r="G5" s="14" t="n">
        <v>4</v>
      </c>
      <c r="H5" s="14" t="n">
        <v>5</v>
      </c>
      <c r="I5" s="14">
        <f>G5*H5</f>
        <v/>
      </c>
      <c r="J5" s="16" t="inlineStr">
        <is>
          <t>CRITICAL</t>
        </is>
      </c>
      <c r="K5" s="14" t="inlineStr">
        <is>
          <t>Treat</t>
        </is>
      </c>
      <c r="L5" s="15" t="inlineStr">
        <is>
          <t>Enable S3 Block Public Access, implement bucket policies, enable CloudTrail logging, encrypt at rest with KMS</t>
        </is>
      </c>
      <c r="M5" s="15" t="inlineStr">
        <is>
          <t>Chief Technology Officer</t>
        </is>
      </c>
    </row>
    <row r="6" ht="52" customHeight="1">
      <c r="A6" s="17" t="n">
        <v>2</v>
      </c>
      <c r="B6" s="17" t="inlineStr">
        <is>
          <t>R002</t>
        </is>
      </c>
      <c r="C6" s="18" t="inlineStr">
        <is>
          <t>Mobile Payment Application</t>
        </is>
      </c>
      <c r="D6" s="18" t="inlineStr">
        <is>
          <t>SQL Injection attack on payment API endpoint</t>
        </is>
      </c>
      <c r="E6" s="18" t="inlineStr">
        <is>
          <t>Input fields not sanitised — no parameterised queries implemented in API layer</t>
        </is>
      </c>
      <c r="F6" s="18" t="inlineStr">
        <is>
          <t>Attacker extracts full customer payment database — financial fraud, customer loss</t>
        </is>
      </c>
      <c r="G6" s="17" t="n">
        <v>3</v>
      </c>
      <c r="H6" s="17" t="n">
        <v>5</v>
      </c>
      <c r="I6" s="17">
        <f>G6*H6</f>
        <v/>
      </c>
      <c r="J6" s="19" t="inlineStr">
        <is>
          <t>HIGH</t>
        </is>
      </c>
      <c r="K6" s="17" t="inlineStr">
        <is>
          <t>Treat</t>
        </is>
      </c>
      <c r="L6" s="18" t="inlineStr">
        <is>
          <t>Implement parameterised queries, deploy WAF (Web Application Firewall), conduct quarterly DAST scanning</t>
        </is>
      </c>
      <c r="M6" s="18" t="inlineStr">
        <is>
          <t>Head of Engineering</t>
        </is>
      </c>
    </row>
    <row r="7" ht="52" customHeight="1">
      <c r="A7" s="14" t="n">
        <v>3</v>
      </c>
      <c r="B7" s="14" t="inlineStr">
        <is>
          <t>R003</t>
        </is>
      </c>
      <c r="C7" s="15" t="inlineStr">
        <is>
          <t>Employee Devices (BYOD)</t>
        </is>
      </c>
      <c r="D7" s="15" t="inlineStr">
        <is>
          <t>Malware infection via phishing email on personal device</t>
        </is>
      </c>
      <c r="E7" s="15" t="inlineStr">
        <is>
          <t>No Mobile Device Management (MDM) policy — personal devices access corporate systems without controls</t>
        </is>
      </c>
      <c r="F7" s="15" t="inlineStr">
        <is>
          <t>Credential theft leading to unauthorised access to internal HR and finance systems</t>
        </is>
      </c>
      <c r="G7" s="14" t="n">
        <v>4</v>
      </c>
      <c r="H7" s="14" t="n">
        <v>4</v>
      </c>
      <c r="I7" s="14">
        <f>G7*H7</f>
        <v/>
      </c>
      <c r="J7" s="19" t="inlineStr">
        <is>
          <t>HIGH</t>
        </is>
      </c>
      <c r="K7" s="14" t="inlineStr">
        <is>
          <t>Treat</t>
        </is>
      </c>
      <c r="L7" s="15" t="inlineStr">
        <is>
          <t>Implement MDM solution, enforce MFA on all corporate access, deploy endpoint protection</t>
        </is>
      </c>
      <c r="M7" s="15" t="inlineStr">
        <is>
          <t>IT Manager</t>
        </is>
      </c>
    </row>
    <row r="8" ht="52" customHeight="1">
      <c r="A8" s="17" t="n">
        <v>4</v>
      </c>
      <c r="B8" s="17" t="inlineStr">
        <is>
          <t>R004</t>
        </is>
      </c>
      <c r="C8" s="18" t="inlineStr">
        <is>
          <t>AWS Cloud Infrastructure</t>
        </is>
      </c>
      <c r="D8" s="18" t="inlineStr">
        <is>
          <t>Ransomware attack encrypting cloud-hosted application data</t>
        </is>
      </c>
      <c r="E8" s="18" t="inlineStr">
        <is>
          <t>No immutable backup policy — backups stored in same AWS account as production</t>
        </is>
      </c>
      <c r="F8" s="18" t="inlineStr">
        <is>
          <t>Complete application downtime — 200,000 users unable to transact, revenue loss + SLA breach</t>
        </is>
      </c>
      <c r="G8" s="17" t="n">
        <v>2</v>
      </c>
      <c r="H8" s="17" t="n">
        <v>5</v>
      </c>
      <c r="I8" s="17">
        <f>G8*H8</f>
        <v/>
      </c>
      <c r="J8" s="20" t="inlineStr">
        <is>
          <t>MEDIUM</t>
        </is>
      </c>
      <c r="K8" s="17" t="inlineStr">
        <is>
          <t>Treat</t>
        </is>
      </c>
      <c r="L8" s="18" t="inlineStr">
        <is>
          <t>Implement 3-2-1 backup strategy with cross-account immutable S3 backups, test recovery quarterly</t>
        </is>
      </c>
      <c r="M8" s="18" t="inlineStr">
        <is>
          <t>Chief Technology Officer</t>
        </is>
      </c>
    </row>
    <row r="9" ht="52" customHeight="1">
      <c r="A9" s="14" t="n">
        <v>5</v>
      </c>
      <c r="B9" s="14" t="inlineStr">
        <is>
          <t>R005</t>
        </is>
      </c>
      <c r="C9" s="15" t="inlineStr">
        <is>
          <t>Third-Party Payment Gateway</t>
        </is>
      </c>
      <c r="D9" s="15" t="inlineStr">
        <is>
          <t>Payment gateway vendor suffers a data breach</t>
        </is>
      </c>
      <c r="E9" s="15" t="inlineStr">
        <is>
          <t>No vendor security assessment conducted — vendor contract lacks security requirements</t>
        </is>
      </c>
      <c r="F9" s="15" t="inlineStr">
        <is>
          <t>Customer payment data compromised at vendor side — PCI-DSS violation + customer churn</t>
        </is>
      </c>
      <c r="G9" s="14" t="n">
        <v>3</v>
      </c>
      <c r="H9" s="14" t="n">
        <v>4</v>
      </c>
      <c r="I9" s="14">
        <f>G9*H9</f>
        <v/>
      </c>
      <c r="J9" s="20" t="inlineStr">
        <is>
          <t>MEDIUM</t>
        </is>
      </c>
      <c r="K9" s="14" t="inlineStr">
        <is>
          <t>Treat</t>
        </is>
      </c>
      <c r="L9" s="15" t="inlineStr">
        <is>
          <t>Conduct vendor risk assessment, add security clauses to contracts, require SOC 2 report from vendors</t>
        </is>
      </c>
      <c r="M9" s="15" t="inlineStr">
        <is>
          <t>Chief Operations Officer</t>
        </is>
      </c>
    </row>
    <row r="10" ht="52" customHeight="1">
      <c r="A10" s="17" t="n">
        <v>6</v>
      </c>
      <c r="B10" s="17" t="inlineStr">
        <is>
          <t>R006</t>
        </is>
      </c>
      <c r="C10" s="18" t="inlineStr">
        <is>
          <t>IT Administrator Accounts</t>
        </is>
      </c>
      <c r="D10" s="18" t="inlineStr">
        <is>
          <t>Insider threat — disgruntled IT admin exfiltrates customer data</t>
        </is>
      </c>
      <c r="E10" s="18" t="inlineStr">
        <is>
          <t>No privileged access management — admins have unrestricted access to all production systems</t>
        </is>
      </c>
      <c r="F10" s="18" t="inlineStr">
        <is>
          <t>Deliberate data theft or sabotage — legal liability + regulatory investigation</t>
        </is>
      </c>
      <c r="G10" s="17" t="n">
        <v>2</v>
      </c>
      <c r="H10" s="17" t="n">
        <v>5</v>
      </c>
      <c r="I10" s="17">
        <f>G10*H10</f>
        <v/>
      </c>
      <c r="J10" s="20" t="inlineStr">
        <is>
          <t>MEDIUM</t>
        </is>
      </c>
      <c r="K10" s="17" t="inlineStr">
        <is>
          <t>Treat</t>
        </is>
      </c>
      <c r="L10" s="18" t="inlineStr">
        <is>
          <t>Implement PAM solution, enforce least privilege, enable admin activity logging and alerting</t>
        </is>
      </c>
      <c r="M10" s="18" t="inlineStr">
        <is>
          <t>Chief Information Security Officer</t>
        </is>
      </c>
    </row>
    <row r="11" ht="52" customHeight="1">
      <c r="A11" s="14" t="n">
        <v>7</v>
      </c>
      <c r="B11" s="14" t="inlineStr">
        <is>
          <t>R007</t>
        </is>
      </c>
      <c r="C11" s="15" t="inlineStr">
        <is>
          <t>Physical Office (Chennai HQ)</t>
        </is>
      </c>
      <c r="D11" s="15" t="inlineStr">
        <is>
          <t>Unauthorised physical access to server room</t>
        </is>
      </c>
      <c r="E11" s="15" t="inlineStr">
        <is>
          <t>Server room uses a single standard lock — no biometric access, no CCTV inside room</t>
        </is>
      </c>
      <c r="F11" s="15" t="inlineStr">
        <is>
          <t>Physical theft or tampering of on-premise networking equipment</t>
        </is>
      </c>
      <c r="G11" s="14" t="n">
        <v>2</v>
      </c>
      <c r="H11" s="14" t="n">
        <v>3</v>
      </c>
      <c r="I11" s="14">
        <f>G11*H11</f>
        <v/>
      </c>
      <c r="J11" s="21" t="inlineStr">
        <is>
          <t>LOW</t>
        </is>
      </c>
      <c r="K11" s="14" t="inlineStr">
        <is>
          <t>Treat</t>
        </is>
      </c>
      <c r="L11" s="15" t="inlineStr">
        <is>
          <t>Install biometric access control, CCTV inside server room, visitor log policy</t>
        </is>
      </c>
      <c r="M11" s="15" t="inlineStr">
        <is>
          <t>IT Manager</t>
        </is>
      </c>
    </row>
    <row r="12" ht="52" customHeight="1">
      <c r="A12" s="17" t="n">
        <v>8</v>
      </c>
      <c r="B12" s="17" t="inlineStr">
        <is>
          <t>R008</t>
        </is>
      </c>
      <c r="C12" s="18" t="inlineStr">
        <is>
          <t>Customer Onboarding Process</t>
        </is>
      </c>
      <c r="D12" s="18" t="inlineStr">
        <is>
          <t>Social engineering attack targeting customer support staff</t>
        </is>
      </c>
      <c r="E12" s="18" t="inlineStr">
        <is>
          <t>No security awareness training conducted — staff not trained to verify caller identity</t>
        </is>
      </c>
      <c r="F12" s="18" t="inlineStr">
        <is>
          <t>Fraudulent account takeover — attacker impersonates customer and resets credentials</t>
        </is>
      </c>
      <c r="G12" s="17" t="n">
        <v>4</v>
      </c>
      <c r="H12" s="17" t="n">
        <v>3</v>
      </c>
      <c r="I12" s="17">
        <f>G12*H12</f>
        <v/>
      </c>
      <c r="J12" s="20" t="inlineStr">
        <is>
          <t>MEDIUM</t>
        </is>
      </c>
      <c r="K12" s="17" t="inlineStr">
        <is>
          <t>Treat</t>
        </is>
      </c>
      <c r="L12" s="18" t="inlineStr">
        <is>
          <t>Mandatory security awareness training quarterly, implement strict identity verification protocol for support calls</t>
        </is>
      </c>
      <c r="M12" s="18" t="inlineStr">
        <is>
          <t>Head of Operations</t>
        </is>
      </c>
    </row>
    <row r="13" ht="52" customHeight="1">
      <c r="A13" s="14" t="n">
        <v>9</v>
      </c>
      <c r="B13" s="14" t="inlineStr">
        <is>
          <t>R009</t>
        </is>
      </c>
      <c r="C13" s="15" t="inlineStr">
        <is>
          <t>Application Uptime (SLA)</t>
        </is>
      </c>
      <c r="D13" s="15" t="inlineStr">
        <is>
          <t>AWS Mumbai region outage causing application unavailability</t>
        </is>
      </c>
      <c r="E13" s="15" t="inlineStr">
        <is>
          <t>Single-region deployment — no multi-region failover or DR environment configured</t>
        </is>
      </c>
      <c r="F13" s="15" t="inlineStr">
        <is>
          <t>Payment app unavailable for hours — breach of customer SLA, revenue loss, regulatory concern</t>
        </is>
      </c>
      <c r="G13" s="14" t="n">
        <v>2</v>
      </c>
      <c r="H13" s="14" t="n">
        <v>4</v>
      </c>
      <c r="I13" s="14">
        <f>G13*H13</f>
        <v/>
      </c>
      <c r="J13" s="20" t="inlineStr">
        <is>
          <t>MEDIUM</t>
        </is>
      </c>
      <c r="K13" s="14" t="inlineStr">
        <is>
          <t>Transfer</t>
        </is>
      </c>
      <c r="L13" s="15" t="inlineStr">
        <is>
          <t>Purchase cyber insurance covering business interruption; medium-term: design multi-AZ architecture</t>
        </is>
      </c>
      <c r="M13" s="15" t="inlineStr">
        <is>
          <t>Chief Technology Officer</t>
        </is>
      </c>
    </row>
    <row r="14" ht="52" customHeight="1">
      <c r="A14" s="17" t="n">
        <v>10</v>
      </c>
      <c r="B14" s="17" t="inlineStr">
        <is>
          <t>R010</t>
        </is>
      </c>
      <c r="C14" s="18" t="inlineStr">
        <is>
          <t>Software Development Pipeline</t>
        </is>
      </c>
      <c r="D14" s="18" t="inlineStr">
        <is>
          <t>Vulnerable open-source library introduced via CI/CD pipeline</t>
        </is>
      </c>
      <c r="E14" s="18" t="inlineStr">
        <is>
          <t>No Software Composition Analysis (SCA) tool in pipeline — dependencies not scanned for CVEs</t>
        </is>
      </c>
      <c r="F14" s="18" t="inlineStr">
        <is>
          <t>Known vulnerability shipped to production — exploitable by attackers before detection</t>
        </is>
      </c>
      <c r="G14" s="17" t="n">
        <v>3</v>
      </c>
      <c r="H14" s="17" t="n">
        <v>4</v>
      </c>
      <c r="I14" s="17">
        <f>G14*H14</f>
        <v/>
      </c>
      <c r="J14" s="20" t="inlineStr">
        <is>
          <t>MEDIUM</t>
        </is>
      </c>
      <c r="K14" s="17" t="inlineStr">
        <is>
          <t>Treat</t>
        </is>
      </c>
      <c r="L14" s="18" t="inlineStr">
        <is>
          <t>Integrate Dependabot or Snyk into CI/CD pipeline, establish patch management SLA (Critical: 24hrs, High: 7 days)</t>
        </is>
      </c>
      <c r="M14" s="18" t="inlineStr">
        <is>
          <t>Head of Engineering</t>
        </is>
      </c>
    </row>
    <row r="15" ht="52" customHeight="1">
      <c r="A15" s="14" t="n">
        <v>11</v>
      </c>
      <c r="B15" s="14" t="inlineStr">
        <is>
          <t>R011</t>
        </is>
      </c>
      <c r="C15" s="15" t="inlineStr">
        <is>
          <t>Employee Offboarding</t>
        </is>
      </c>
      <c r="D15" s="15" t="inlineStr">
        <is>
          <t>Terminated employee retains access to corporate systems</t>
        </is>
      </c>
      <c r="E15" s="15" t="inlineStr">
        <is>
          <t>No formal offboarding checklist — access revocation not tied to HR termination process</t>
        </is>
      </c>
      <c r="F15" s="15" t="inlineStr">
        <is>
          <t>Ex-employee accesses systems post-termination — data theft or sabotage</t>
        </is>
      </c>
      <c r="G15" s="14" t="n">
        <v>3</v>
      </c>
      <c r="H15" s="14" t="n">
        <v>4</v>
      </c>
      <c r="I15" s="14">
        <f>G15*H15</f>
        <v/>
      </c>
      <c r="J15" s="20" t="inlineStr">
        <is>
          <t>MEDIUM</t>
        </is>
      </c>
      <c r="K15" s="14" t="inlineStr">
        <is>
          <t>Treat</t>
        </is>
      </c>
      <c r="L15" s="15" t="inlineStr">
        <is>
          <t>Implement automated offboarding workflow linked to HR system — revoke all access within 24hrs of termination</t>
        </is>
      </c>
      <c r="M15" s="15" t="inlineStr">
        <is>
          <t>Head of HR</t>
        </is>
      </c>
    </row>
    <row r="16" ht="52" customHeight="1">
      <c r="A16" s="17" t="n">
        <v>12</v>
      </c>
      <c r="B16" s="17" t="inlineStr">
        <is>
          <t>R012</t>
        </is>
      </c>
      <c r="C16" s="18" t="inlineStr">
        <is>
          <t>Audit Logs &amp; Monitoring</t>
        </is>
      </c>
      <c r="D16" s="18" t="inlineStr">
        <is>
          <t>Security incidents go undetected due to insufficient logging</t>
        </is>
      </c>
      <c r="E16" s="18" t="inlineStr">
        <is>
          <t>No SIEM deployed — CloudTrail logs stored but not monitored or alerted</t>
        </is>
      </c>
      <c r="F16" s="18" t="inlineStr">
        <is>
          <t>Attacker operates inside environment undetected for weeks (dwell time risk)</t>
        </is>
      </c>
      <c r="G16" s="17" t="n">
        <v>4</v>
      </c>
      <c r="H16" s="17" t="n">
        <v>3</v>
      </c>
      <c r="I16" s="17">
        <f>G16*H16</f>
        <v/>
      </c>
      <c r="J16" s="20" t="inlineStr">
        <is>
          <t>MEDIUM</t>
        </is>
      </c>
      <c r="K16" s="17" t="inlineStr">
        <is>
          <t>Treat</t>
        </is>
      </c>
      <c r="L16" s="18" t="inlineStr">
        <is>
          <t>Deploy SIEM (AWS Security Hub as starting point), define alerting rules for critical events, assign SOC responsibility</t>
        </is>
      </c>
      <c r="M16" s="18" t="inlineStr">
        <is>
          <t>IT Manager</t>
        </is>
      </c>
    </row>
    <row r="17" ht="52" customHeight="1">
      <c r="A17" s="14" t="n">
        <v>13</v>
      </c>
      <c r="B17" s="14" t="inlineStr">
        <is>
          <t>R013</t>
        </is>
      </c>
      <c r="C17" s="15" t="inlineStr">
        <is>
          <t>Regulatory Compliance</t>
        </is>
      </c>
      <c r="D17" s="15" t="inlineStr">
        <is>
          <t>Non-compliance with RBI Payment Aggregator Guidelines</t>
        </is>
      </c>
      <c r="E17" s="15" t="inlineStr">
        <is>
          <t>Compliance programme not formally established — no internal audit conducted</t>
        </is>
      </c>
      <c r="F17" s="15" t="inlineStr">
        <is>
          <t>Regulatory enforcement action — licence suspension, fines up to ₹5 crore</t>
        </is>
      </c>
      <c r="G17" s="14" t="n">
        <v>3</v>
      </c>
      <c r="H17" s="14" t="n">
        <v>5</v>
      </c>
      <c r="I17" s="14">
        <f>G17*H17</f>
        <v/>
      </c>
      <c r="J17" s="19" t="inlineStr">
        <is>
          <t>HIGH</t>
        </is>
      </c>
      <c r="K17" s="14" t="inlineStr">
        <is>
          <t>Treat</t>
        </is>
      </c>
      <c r="L17" s="15" t="inlineStr">
        <is>
          <t>Establish formal compliance programme, appoint Compliance Officer, conduct quarterly internal audits</t>
        </is>
      </c>
      <c r="M17" s="15" t="inlineStr">
        <is>
          <t>Chief Compliance Officer</t>
        </is>
      </c>
    </row>
    <row r="18" ht="52" customHeight="1">
      <c r="A18" s="17" t="n">
        <v>14</v>
      </c>
      <c r="B18" s="17" t="inlineStr">
        <is>
          <t>R014</t>
        </is>
      </c>
      <c r="C18" s="18" t="inlineStr">
        <is>
          <t>Customer Data Retention</t>
        </is>
      </c>
      <c r="D18" s="18" t="inlineStr">
        <is>
          <t>Personal data retained beyond regulatory requirement</t>
        </is>
      </c>
      <c r="E18" s="18" t="inlineStr">
        <is>
          <t>No data retention policy defined — customer data kept indefinitely in production database</t>
        </is>
      </c>
      <c r="F18" s="18" t="inlineStr">
        <is>
          <t>DPDP Act violation — data minimisation principle breach, regulatory fine</t>
        </is>
      </c>
      <c r="G18" s="17" t="n">
        <v>3</v>
      </c>
      <c r="H18" s="17" t="n">
        <v>3</v>
      </c>
      <c r="I18" s="17">
        <f>G18*H18</f>
        <v/>
      </c>
      <c r="J18" s="20" t="inlineStr">
        <is>
          <t>MEDIUM</t>
        </is>
      </c>
      <c r="K18" s="17" t="inlineStr">
        <is>
          <t>Treat</t>
        </is>
      </c>
      <c r="L18" s="18" t="inlineStr">
        <is>
          <t>Define and implement data retention policy — automated deletion of data beyond retention period</t>
        </is>
      </c>
      <c r="M18" s="18" t="inlineStr">
        <is>
          <t>Chief Privacy Officer</t>
        </is>
      </c>
    </row>
    <row r="19" ht="52" customHeight="1">
      <c r="A19" s="14" t="n">
        <v>15</v>
      </c>
      <c r="B19" s="14" t="inlineStr">
        <is>
          <t>R015</t>
        </is>
      </c>
      <c r="C19" s="15" t="inlineStr">
        <is>
          <t>Cryptographic Keys (KMS)</t>
        </is>
      </c>
      <c r="D19" s="15" t="inlineStr">
        <is>
          <t>Encryption keys compromised or lost</t>
        </is>
      </c>
      <c r="E19" s="15" t="inlineStr">
        <is>
          <t>KMS key rotation not configured — keys never rotated since system launch</t>
        </is>
      </c>
      <c r="F19" s="15" t="inlineStr">
        <is>
          <t>All encrypted data at risk — if key compromised, full data exposure; if lost, data unrecoverable</t>
        </is>
      </c>
      <c r="G19" s="14" t="n">
        <v>2</v>
      </c>
      <c r="H19" s="14" t="n">
        <v>5</v>
      </c>
      <c r="I19" s="14">
        <f>G19*H19</f>
        <v/>
      </c>
      <c r="J19" s="20" t="inlineStr">
        <is>
          <t>MEDIUM</t>
        </is>
      </c>
      <c r="K19" s="14" t="inlineStr">
        <is>
          <t>Treat</t>
        </is>
      </c>
      <c r="L19" s="15" t="inlineStr">
        <is>
          <t>Enable automatic KMS key rotation annually, document key management procedures, test key recovery process</t>
        </is>
      </c>
      <c r="M19" s="15" t="inlineStr">
        <is>
          <t>Chief Technology Officer</t>
        </is>
      </c>
    </row>
    <row r="25" ht="52" customHeight="1">
      <c r="A25" s="22" t="inlineStr"/>
      <c r="B25" s="22" t="inlineStr"/>
      <c r="C25" s="23" t="inlineStr"/>
      <c r="D25" s="23" t="inlineStr"/>
      <c r="E25" s="23" t="inlineStr"/>
      <c r="F25" s="23" t="inlineStr"/>
      <c r="G25" s="22" t="inlineStr"/>
      <c r="H25" s="22" t="inlineStr"/>
      <c r="I25" s="22">
        <f>IF(G25="","",G25*H25)</f>
        <v/>
      </c>
      <c r="J25" s="22" t="inlineStr"/>
      <c r="K25" s="22" t="inlineStr"/>
      <c r="L25" s="23" t="inlineStr"/>
      <c r="M25" s="23" t="inlineStr"/>
    </row>
    <row r="26" ht="52" customHeight="1">
      <c r="A26" s="24" t="inlineStr"/>
      <c r="B26" s="24" t="inlineStr"/>
      <c r="C26" s="25" t="inlineStr"/>
      <c r="D26" s="25" t="inlineStr"/>
      <c r="E26" s="25" t="inlineStr"/>
      <c r="F26" s="25" t="inlineStr"/>
      <c r="G26" s="24" t="inlineStr"/>
      <c r="H26" s="24" t="inlineStr"/>
      <c r="I26" s="24">
        <f>IF(G26="","",G26*H26)</f>
        <v/>
      </c>
      <c r="J26" s="24" t="inlineStr"/>
      <c r="K26" s="24" t="inlineStr"/>
      <c r="L26" s="25" t="inlineStr"/>
      <c r="M26" s="25" t="inlineStr"/>
    </row>
    <row r="27" ht="52" customHeight="1">
      <c r="A27" s="22" t="inlineStr"/>
      <c r="B27" s="22" t="inlineStr"/>
      <c r="C27" s="23" t="inlineStr"/>
      <c r="D27" s="23" t="inlineStr"/>
      <c r="E27" s="23" t="inlineStr"/>
      <c r="F27" s="23" t="inlineStr"/>
      <c r="G27" s="22" t="inlineStr"/>
      <c r="H27" s="22" t="inlineStr"/>
      <c r="I27" s="22">
        <f>IF(G27="","",G27*H27)</f>
        <v/>
      </c>
      <c r="J27" s="22" t="inlineStr"/>
      <c r="K27" s="22" t="inlineStr"/>
      <c r="L27" s="23" t="inlineStr"/>
      <c r="M27" s="23" t="inlineStr"/>
    </row>
    <row r="28" ht="52" customHeight="1">
      <c r="A28" s="24" t="inlineStr"/>
      <c r="B28" s="24" t="inlineStr"/>
      <c r="C28" s="25" t="inlineStr"/>
      <c r="D28" s="25" t="inlineStr"/>
      <c r="E28" s="25" t="inlineStr"/>
      <c r="F28" s="25" t="inlineStr"/>
      <c r="G28" s="24" t="inlineStr"/>
      <c r="H28" s="24" t="inlineStr"/>
      <c r="I28" s="24">
        <f>IF(G28="","",G28*H28)</f>
        <v/>
      </c>
      <c r="J28" s="24" t="inlineStr"/>
      <c r="K28" s="24" t="inlineStr"/>
      <c r="L28" s="25" t="inlineStr"/>
      <c r="M28" s="25" t="inlineStr"/>
    </row>
    <row r="29" ht="52" customHeight="1">
      <c r="A29" s="22" t="inlineStr"/>
      <c r="B29" s="22" t="inlineStr"/>
      <c r="C29" s="23" t="inlineStr"/>
      <c r="D29" s="23" t="inlineStr"/>
      <c r="E29" s="23" t="inlineStr"/>
      <c r="F29" s="23" t="inlineStr"/>
      <c r="G29" s="22" t="inlineStr"/>
      <c r="H29" s="22" t="inlineStr"/>
      <c r="I29" s="22">
        <f>IF(G29="","",G29*H29)</f>
        <v/>
      </c>
      <c r="J29" s="22" t="inlineStr"/>
      <c r="K29" s="22" t="inlineStr"/>
      <c r="L29" s="23" t="inlineStr"/>
      <c r="M29" s="23" t="inlineStr"/>
    </row>
    <row r="30" ht="52" customHeight="1">
      <c r="A30" s="24" t="inlineStr"/>
      <c r="B30" s="24" t="inlineStr"/>
      <c r="C30" s="25" t="inlineStr"/>
      <c r="D30" s="25" t="inlineStr"/>
      <c r="E30" s="25" t="inlineStr"/>
      <c r="F30" s="25" t="inlineStr"/>
      <c r="G30" s="24" t="inlineStr"/>
      <c r="H30" s="24" t="inlineStr"/>
      <c r="I30" s="24">
        <f>IF(G30="","",G30*H30)</f>
        <v/>
      </c>
      <c r="J30" s="24" t="inlineStr"/>
      <c r="K30" s="24" t="inlineStr"/>
      <c r="L30" s="25" t="inlineStr"/>
      <c r="M30" s="25" t="inlineStr"/>
    </row>
    <row r="31" ht="52" customHeight="1">
      <c r="A31" s="22" t="inlineStr"/>
      <c r="B31" s="22" t="inlineStr"/>
      <c r="C31" s="23" t="inlineStr"/>
      <c r="D31" s="23" t="inlineStr"/>
      <c r="E31" s="23" t="inlineStr"/>
      <c r="F31" s="23" t="inlineStr"/>
      <c r="G31" s="22" t="inlineStr"/>
      <c r="H31" s="22" t="inlineStr"/>
      <c r="I31" s="22">
        <f>IF(G31="","",G31*H31)</f>
        <v/>
      </c>
      <c r="J31" s="22" t="inlineStr"/>
      <c r="K31" s="22" t="inlineStr"/>
      <c r="L31" s="23" t="inlineStr"/>
      <c r="M31" s="23" t="inlineStr"/>
    </row>
    <row r="32" ht="52" customHeight="1">
      <c r="A32" s="24" t="inlineStr"/>
      <c r="B32" s="24" t="inlineStr"/>
      <c r="C32" s="25" t="inlineStr"/>
      <c r="D32" s="25" t="inlineStr"/>
      <c r="E32" s="25" t="inlineStr"/>
      <c r="F32" s="25" t="inlineStr"/>
      <c r="G32" s="24" t="inlineStr"/>
      <c r="H32" s="24" t="inlineStr"/>
      <c r="I32" s="24">
        <f>IF(G32="","",G32*H32)</f>
        <v/>
      </c>
      <c r="J32" s="24" t="inlineStr"/>
      <c r="K32" s="24" t="inlineStr"/>
      <c r="L32" s="25" t="inlineStr"/>
      <c r="M32" s="25" t="inlineStr"/>
    </row>
    <row r="33" ht="52" customHeight="1">
      <c r="A33" s="22" t="inlineStr"/>
      <c r="B33" s="22" t="inlineStr"/>
      <c r="C33" s="23" t="inlineStr"/>
      <c r="D33" s="23" t="inlineStr"/>
      <c r="E33" s="23" t="inlineStr"/>
      <c r="F33" s="23" t="inlineStr"/>
      <c r="G33" s="22" t="inlineStr"/>
      <c r="H33" s="22" t="inlineStr"/>
      <c r="I33" s="22">
        <f>IF(G33="","",G33*H33)</f>
        <v/>
      </c>
      <c r="J33" s="22" t="inlineStr"/>
      <c r="K33" s="22" t="inlineStr"/>
      <c r="L33" s="23" t="inlineStr"/>
      <c r="M33" s="23" t="inlineStr"/>
    </row>
    <row r="34" ht="52" customHeight="1">
      <c r="A34" s="24" t="inlineStr"/>
      <c r="B34" s="24" t="inlineStr"/>
      <c r="C34" s="25" t="inlineStr"/>
      <c r="D34" s="25" t="inlineStr"/>
      <c r="E34" s="25" t="inlineStr"/>
      <c r="F34" s="25" t="inlineStr"/>
      <c r="G34" s="24" t="inlineStr"/>
      <c r="H34" s="24" t="inlineStr"/>
      <c r="I34" s="24">
        <f>IF(G34="","",G34*H34)</f>
        <v/>
      </c>
      <c r="J34" s="24" t="inlineStr"/>
      <c r="K34" s="24" t="inlineStr"/>
      <c r="L34" s="25" t="inlineStr"/>
      <c r="M34" s="25" t="inlineStr"/>
    </row>
    <row r="40">
      <c r="A40" s="26" t="inlineStr">
        <is>
          <t>★  Rows highlighted in RED = Critical risks requiring immediate attention  |  Add your own risks from row 21 onwards  |  Risk Score = Likelihood × Impact</t>
        </is>
      </c>
    </row>
  </sheetData>
  <mergeCells count="4">
    <mergeCell ref="A40:M40"/>
    <mergeCell ref="A3:M3"/>
    <mergeCell ref="A2:M2"/>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0"/>
  <sheetViews>
    <sheetView showGridLines="0" workbookViewId="0">
      <selection activeCell="A1" sqref="A1"/>
    </sheetView>
  </sheetViews>
  <sheetFormatPr baseColWidth="8" defaultRowHeight="15"/>
  <cols>
    <col width="6" customWidth="1" min="1" max="1"/>
    <col width="12" customWidth="1" min="2" max="2"/>
    <col width="38" customWidth="1" min="3" max="3"/>
    <col width="20" customWidth="1" min="4" max="4"/>
    <col width="16" customWidth="1" min="5" max="5"/>
    <col width="40" customWidth="1" min="6" max="6"/>
    <col width="16" customWidth="1" min="7" max="7"/>
  </cols>
  <sheetData>
    <row r="1" ht="34" customHeight="1">
      <c r="A1" s="10" t="inlineStr">
        <is>
          <t>SecureFinX Pvt. Ltd. — ISO 27001:2022 Annex A Gap Analysis</t>
        </is>
      </c>
    </row>
    <row r="2" ht="20" customHeight="1">
      <c r="A2" s="27" t="inlineStr">
        <is>
          <t>Instructions: For each control, select the Status from the dropdown. Add your findings and recommended actions. This is your official gap analysis document.</t>
        </is>
      </c>
    </row>
    <row r="3" ht="22" customHeight="1">
      <c r="A3" s="28" t="inlineStr">
        <is>
          <t>Summary: =COUNTIF(E5:E200,"Implemented")&amp;" Implemented  |  "&amp;COUNTIF(E5:E200,"Partial")&amp;" Partial  |  "&amp;COUNTIF(E5:E200,"Not Implemented")&amp;" Not Implemented  |  "&amp;COUNTIF(E5:E200,"N/A")&amp;" Not Applicable"</t>
        </is>
      </c>
    </row>
    <row r="4" ht="28" customHeight="1">
      <c r="A4" s="29" t="inlineStr">
        <is>
          <t>#</t>
        </is>
      </c>
      <c r="B4" s="29" t="inlineStr">
        <is>
          <t>Ref</t>
        </is>
      </c>
      <c r="C4" s="29" t="inlineStr">
        <is>
          <t>Control Name</t>
        </is>
      </c>
      <c r="D4" s="29" t="inlineStr">
        <is>
          <t>Control Theme</t>
        </is>
      </c>
      <c r="E4" s="29" t="inlineStr">
        <is>
          <t>Status</t>
        </is>
      </c>
      <c r="F4" s="29" t="inlineStr">
        <is>
          <t>Gap / Finding</t>
        </is>
      </c>
      <c r="G4" s="29" t="inlineStr">
        <is>
          <t>Recommended Action</t>
        </is>
      </c>
    </row>
    <row r="5" ht="44" customHeight="1">
      <c r="A5" s="14" t="n">
        <v>1</v>
      </c>
      <c r="B5" s="14" t="inlineStr">
        <is>
          <t>A.5.1</t>
        </is>
      </c>
      <c r="C5" s="15" t="inlineStr">
        <is>
          <t>Policies for information security</t>
        </is>
      </c>
      <c r="D5" s="30" t="inlineStr">
        <is>
          <t>Organisational</t>
        </is>
      </c>
      <c r="E5" s="31" t="inlineStr">
        <is>
          <t>Not Implemented</t>
        </is>
      </c>
      <c r="F5" s="15" t="inlineStr">
        <is>
          <t>No formal information security policy suite exists — policies are undocumented</t>
        </is>
      </c>
      <c r="G5" s="15" t="inlineStr">
        <is>
          <t>Draft and approve Information Security Policy, Acceptable Use Policy, and supporting policies</t>
        </is>
      </c>
    </row>
    <row r="6" ht="44" customHeight="1">
      <c r="A6" s="17" t="n">
        <v>2</v>
      </c>
      <c r="B6" s="17" t="inlineStr">
        <is>
          <t>A.5.2</t>
        </is>
      </c>
      <c r="C6" s="18" t="inlineStr">
        <is>
          <t>Information security roles and responsibilities</t>
        </is>
      </c>
      <c r="D6" s="30" t="inlineStr">
        <is>
          <t>Organisational</t>
        </is>
      </c>
      <c r="E6" s="31" t="inlineStr">
        <is>
          <t>Not Implemented</t>
        </is>
      </c>
      <c r="F6" s="18" t="inlineStr">
        <is>
          <t>Roles not formally defined — no CISO appointed, security responsibilities unclear</t>
        </is>
      </c>
      <c r="G6" s="18" t="inlineStr">
        <is>
          <t>Define and document security roles: CISO, DPO, Risk Owner, System Owner. Include in org chart</t>
        </is>
      </c>
    </row>
    <row r="7" ht="44" customHeight="1">
      <c r="A7" s="14" t="n">
        <v>3</v>
      </c>
      <c r="B7" s="14" t="inlineStr">
        <is>
          <t>A.5.3</t>
        </is>
      </c>
      <c r="C7" s="15" t="inlineStr">
        <is>
          <t>Segregation of duties</t>
        </is>
      </c>
      <c r="D7" s="30" t="inlineStr">
        <is>
          <t>Organisational</t>
        </is>
      </c>
      <c r="E7" s="31" t="inlineStr">
        <is>
          <t>Not Implemented</t>
        </is>
      </c>
      <c r="F7" s="15" t="inlineStr">
        <is>
          <t>Single IT admin has unrestricted access to all systems — no segregation</t>
        </is>
      </c>
      <c r="G7" s="15" t="inlineStr">
        <is>
          <t>Implement role separation: separate development, operations, and security admin roles</t>
        </is>
      </c>
    </row>
    <row r="8" ht="44" customHeight="1">
      <c r="A8" s="17" t="n">
        <v>4</v>
      </c>
      <c r="B8" s="17" t="inlineStr">
        <is>
          <t>A.5.4</t>
        </is>
      </c>
      <c r="C8" s="18" t="inlineStr">
        <is>
          <t>Management responsibilities</t>
        </is>
      </c>
      <c r="D8" s="30" t="inlineStr">
        <is>
          <t>Organisational</t>
        </is>
      </c>
      <c r="E8" s="31" t="inlineStr">
        <is>
          <t>Not Implemented</t>
        </is>
      </c>
      <c r="F8" s="18" t="inlineStr">
        <is>
          <t>No evidence of management communication on security responsibilities</t>
        </is>
      </c>
      <c r="G8" s="18" t="inlineStr">
        <is>
          <t>Issue management communication; include security KPIs in leadership scorecards</t>
        </is>
      </c>
    </row>
    <row r="9" ht="44" customHeight="1">
      <c r="A9" s="14" t="n">
        <v>5</v>
      </c>
      <c r="B9" s="14" t="inlineStr">
        <is>
          <t>A.5.5</t>
        </is>
      </c>
      <c r="C9" s="15" t="inlineStr">
        <is>
          <t>Contact with authorities</t>
        </is>
      </c>
      <c r="D9" s="30" t="inlineStr">
        <is>
          <t>Organisational</t>
        </is>
      </c>
      <c r="E9" s="31" t="inlineStr">
        <is>
          <t>Not Implemented</t>
        </is>
      </c>
      <c r="F9" s="15" t="inlineStr">
        <is>
          <t>No documented process for contacting CERT-In, RBI, or law enforcement during incidents</t>
        </is>
      </c>
      <c r="G9" s="15" t="inlineStr">
        <is>
          <t>Document regulatory contact list; establish incident notification procedure per CERT-In guidelines</t>
        </is>
      </c>
    </row>
    <row r="10" ht="44" customHeight="1">
      <c r="A10" s="17" t="n">
        <v>6</v>
      </c>
      <c r="B10" s="17" t="inlineStr">
        <is>
          <t>A.5.6</t>
        </is>
      </c>
      <c r="C10" s="18" t="inlineStr">
        <is>
          <t>Contact with special interest groups</t>
        </is>
      </c>
      <c r="D10" s="30" t="inlineStr">
        <is>
          <t>Organisational</t>
        </is>
      </c>
      <c r="E10" s="31" t="inlineStr">
        <is>
          <t>Not Implemented</t>
        </is>
      </c>
      <c r="F10" s="18" t="inlineStr">
        <is>
          <t>No participation in security forums or threat intelligence sharing</t>
        </is>
      </c>
      <c r="G10" s="18" t="inlineStr">
        <is>
          <t>Subscribe to CERT-In alerts; consider membership in DSCI (Data Security Council of India)</t>
        </is>
      </c>
    </row>
    <row r="11" ht="44" customHeight="1">
      <c r="A11" s="14" t="n">
        <v>7</v>
      </c>
      <c r="B11" s="14" t="inlineStr">
        <is>
          <t>A.5.7</t>
        </is>
      </c>
      <c r="C11" s="15" t="inlineStr">
        <is>
          <t>Threat intelligence</t>
        </is>
      </c>
      <c r="D11" s="30" t="inlineStr">
        <is>
          <t>Organisational</t>
        </is>
      </c>
      <c r="E11" s="31" t="inlineStr">
        <is>
          <t>Not Implemented</t>
        </is>
      </c>
      <c r="F11" s="15" t="inlineStr">
        <is>
          <t>No threat intelligence feeds consumed or acted upon</t>
        </is>
      </c>
      <c r="G11" s="15" t="inlineStr">
        <is>
          <t>Implement free threat intel feeds (CERT-In, CISA, NIST NVD) into security monitoring process</t>
        </is>
      </c>
    </row>
    <row r="12" ht="44" customHeight="1">
      <c r="A12" s="17" t="n">
        <v>8</v>
      </c>
      <c r="B12" s="17" t="inlineStr">
        <is>
          <t>A.5.8</t>
        </is>
      </c>
      <c r="C12" s="18" t="inlineStr">
        <is>
          <t>Information security in project management</t>
        </is>
      </c>
      <c r="D12" s="30" t="inlineStr">
        <is>
          <t>Organisational</t>
        </is>
      </c>
      <c r="E12" s="31" t="inlineStr">
        <is>
          <t>Not Implemented</t>
        </is>
      </c>
      <c r="F12" s="18" t="inlineStr">
        <is>
          <t>Security not included in SDLC or project planning gates</t>
        </is>
      </c>
      <c r="G12" s="18" t="inlineStr">
        <is>
          <t>Add security review gate to project methodology; require security sign-off before production deployment</t>
        </is>
      </c>
    </row>
    <row r="13" ht="44" customHeight="1">
      <c r="A13" s="14" t="n">
        <v>9</v>
      </c>
      <c r="B13" s="14" t="inlineStr">
        <is>
          <t>A.5.9</t>
        </is>
      </c>
      <c r="C13" s="15" t="inlineStr">
        <is>
          <t>Inventory of information and other associated assets</t>
        </is>
      </c>
      <c r="D13" s="30" t="inlineStr">
        <is>
          <t>Organisational</t>
        </is>
      </c>
      <c r="E13" s="31" t="inlineStr">
        <is>
          <t>Not Implemented</t>
        </is>
      </c>
      <c r="F13" s="15" t="inlineStr">
        <is>
          <t>No formal asset inventory maintained — assets not classified or tracked</t>
        </is>
      </c>
      <c r="G13" s="15" t="inlineStr">
        <is>
          <t>Create and maintain asset register covering data, software, hardware, and cloud resources</t>
        </is>
      </c>
    </row>
    <row r="14" ht="44" customHeight="1">
      <c r="A14" s="17" t="n">
        <v>10</v>
      </c>
      <c r="B14" s="17" t="inlineStr">
        <is>
          <t>A.5.10</t>
        </is>
      </c>
      <c r="C14" s="18" t="inlineStr">
        <is>
          <t>Acceptable use of information and other associated assets</t>
        </is>
      </c>
      <c r="D14" s="30" t="inlineStr">
        <is>
          <t>Organisational</t>
        </is>
      </c>
      <c r="E14" s="31" t="inlineStr">
        <is>
          <t>Not Implemented</t>
        </is>
      </c>
      <c r="F14" s="18" t="inlineStr">
        <is>
          <t>No Acceptable Use Policy exists — employees have no formal guidance</t>
        </is>
      </c>
      <c r="G14" s="18" t="inlineStr">
        <is>
          <t>Draft and communicate Acceptable Use Policy; require annual employee acknowledgement</t>
        </is>
      </c>
    </row>
    <row r="15" ht="44" customHeight="1">
      <c r="A15" s="14" t="n">
        <v>11</v>
      </c>
      <c r="B15" s="14" t="inlineStr">
        <is>
          <t>A.5.11</t>
        </is>
      </c>
      <c r="C15" s="15" t="inlineStr">
        <is>
          <t>Return of assets</t>
        </is>
      </c>
      <c r="D15" s="30" t="inlineStr">
        <is>
          <t>Organisational</t>
        </is>
      </c>
      <c r="E15" s="31" t="inlineStr">
        <is>
          <t>Not Implemented</t>
        </is>
      </c>
      <c r="F15" s="15" t="inlineStr">
        <is>
          <t>No offboarding procedure for return of company assets and access revocation</t>
        </is>
      </c>
      <c r="G15" s="15" t="inlineStr">
        <is>
          <t>Implement asset return checklist in HR offboarding process; document and verify completion</t>
        </is>
      </c>
    </row>
    <row r="16" ht="44" customHeight="1">
      <c r="A16" s="17" t="n">
        <v>12</v>
      </c>
      <c r="B16" s="17" t="inlineStr">
        <is>
          <t>A.5.12</t>
        </is>
      </c>
      <c r="C16" s="18" t="inlineStr">
        <is>
          <t>Classification of information</t>
        </is>
      </c>
      <c r="D16" s="30" t="inlineStr">
        <is>
          <t>Organisational</t>
        </is>
      </c>
      <c r="E16" s="31" t="inlineStr">
        <is>
          <t>Not Implemented</t>
        </is>
      </c>
      <c r="F16" s="18" t="inlineStr">
        <is>
          <t>Data not formally classified — no labels applied to sensitive documents or databases</t>
        </is>
      </c>
      <c r="G16" s="18" t="inlineStr">
        <is>
          <t>Implement 4-tier classification: Public / Internal / Confidential / Restricted. Apply to all data stores</t>
        </is>
      </c>
    </row>
    <row r="17" ht="44" customHeight="1">
      <c r="A17" s="14" t="n">
        <v>13</v>
      </c>
      <c r="B17" s="14" t="inlineStr">
        <is>
          <t>A.5.13</t>
        </is>
      </c>
      <c r="C17" s="15" t="inlineStr">
        <is>
          <t>Labelling of information</t>
        </is>
      </c>
      <c r="D17" s="30" t="inlineStr">
        <is>
          <t>Organisational</t>
        </is>
      </c>
      <c r="E17" s="31" t="inlineStr">
        <is>
          <t>Not Implemented</t>
        </is>
      </c>
      <c r="F17" s="15" t="inlineStr">
        <is>
          <t>No labelling system applied to documents or email</t>
        </is>
      </c>
      <c r="G17" s="15" t="inlineStr">
        <is>
          <t>Implement document labelling policy; configure Microsoft 365 sensitivity labels if applicable</t>
        </is>
      </c>
    </row>
    <row r="18" ht="44" customHeight="1">
      <c r="A18" s="17" t="n">
        <v>14</v>
      </c>
      <c r="B18" s="17" t="inlineStr">
        <is>
          <t>A.5.14</t>
        </is>
      </c>
      <c r="C18" s="18" t="inlineStr">
        <is>
          <t>Information transfer</t>
        </is>
      </c>
      <c r="D18" s="30" t="inlineStr">
        <is>
          <t>Organisational</t>
        </is>
      </c>
      <c r="E18" s="31" t="inlineStr">
        <is>
          <t>Not Implemented</t>
        </is>
      </c>
      <c r="F18" s="18" t="inlineStr">
        <is>
          <t>No controls on how sensitive data is transferred internally or externally</t>
        </is>
      </c>
      <c r="G18" s="18" t="inlineStr">
        <is>
          <t>Define data transfer policy; enforce encryption in transit for all sensitive data transfers</t>
        </is>
      </c>
    </row>
    <row r="19" ht="44" customHeight="1">
      <c r="A19" s="14" t="n">
        <v>15</v>
      </c>
      <c r="B19" s="14" t="inlineStr">
        <is>
          <t>A.5.15</t>
        </is>
      </c>
      <c r="C19" s="15" t="inlineStr">
        <is>
          <t>Access control</t>
        </is>
      </c>
      <c r="D19" s="30" t="inlineStr">
        <is>
          <t>Organisational</t>
        </is>
      </c>
      <c r="E19" s="31" t="inlineStr">
        <is>
          <t>Not Implemented</t>
        </is>
      </c>
      <c r="F19" s="15" t="inlineStr">
        <is>
          <t>No formal access control policy — access granted ad-hoc without documentation</t>
        </is>
      </c>
      <c r="G19" s="15" t="inlineStr">
        <is>
          <t>Draft Access Control Policy based on least privilege; implement access request and approval workflow</t>
        </is>
      </c>
    </row>
    <row r="20" ht="44" customHeight="1">
      <c r="A20" s="17" t="n">
        <v>16</v>
      </c>
      <c r="B20" s="17" t="inlineStr">
        <is>
          <t>A.5.16</t>
        </is>
      </c>
      <c r="C20" s="18" t="inlineStr">
        <is>
          <t>Identity management</t>
        </is>
      </c>
      <c r="D20" s="30" t="inlineStr">
        <is>
          <t>Organisational</t>
        </is>
      </c>
      <c r="E20" s="31" t="inlineStr">
        <is>
          <t>Not Implemented</t>
        </is>
      </c>
      <c r="F20" s="18" t="inlineStr">
        <is>
          <t>Identity lifecycle not formally managed — joiners/movers/leavers process undocumented</t>
        </is>
      </c>
      <c r="G20" s="18" t="inlineStr">
        <is>
          <t>Document identity management procedure for all lifecycle stages; integrate with HR system</t>
        </is>
      </c>
    </row>
    <row r="21" ht="44" customHeight="1">
      <c r="A21" s="14" t="n">
        <v>17</v>
      </c>
      <c r="B21" s="14" t="inlineStr">
        <is>
          <t>A.5.17</t>
        </is>
      </c>
      <c r="C21" s="15" t="inlineStr">
        <is>
          <t>Authentication information</t>
        </is>
      </c>
      <c r="D21" s="30" t="inlineStr">
        <is>
          <t>Organisational</t>
        </is>
      </c>
      <c r="E21" s="31" t="inlineStr">
        <is>
          <t>Not Implemented</t>
        </is>
      </c>
      <c r="F21" s="15" t="inlineStr">
        <is>
          <t>No password policy enforced — weak passwords observed in systems</t>
        </is>
      </c>
      <c r="G21" s="15" t="inlineStr">
        <is>
          <t>Implement password policy (min 12 chars, complexity, no reuse); enforce via technical controls</t>
        </is>
      </c>
    </row>
    <row r="22" ht="44" customHeight="1">
      <c r="A22" s="17" t="n">
        <v>18</v>
      </c>
      <c r="B22" s="17" t="inlineStr">
        <is>
          <t>A.5.18</t>
        </is>
      </c>
      <c r="C22" s="18" t="inlineStr">
        <is>
          <t>Access rights</t>
        </is>
      </c>
      <c r="D22" s="30" t="inlineStr">
        <is>
          <t>Organisational</t>
        </is>
      </c>
      <c r="E22" s="31" t="inlineStr">
        <is>
          <t>Not Implemented</t>
        </is>
      </c>
      <c r="F22" s="18" t="inlineStr">
        <is>
          <t>Access rights never formally reviewed — former staff may retain access</t>
        </is>
      </c>
      <c r="G22" s="18" t="inlineStr">
        <is>
          <t>Implement quarterly access review process; automate revocation on HR termination trigger</t>
        </is>
      </c>
    </row>
    <row r="23" ht="44" customHeight="1">
      <c r="A23" s="14" t="n">
        <v>19</v>
      </c>
      <c r="B23" s="14" t="inlineStr">
        <is>
          <t>A.5.19</t>
        </is>
      </c>
      <c r="C23" s="15" t="inlineStr">
        <is>
          <t>Information security in supplier relationships</t>
        </is>
      </c>
      <c r="D23" s="30" t="inlineStr">
        <is>
          <t>Organisational</t>
        </is>
      </c>
      <c r="E23" s="31" t="inlineStr">
        <is>
          <t>Not Implemented</t>
        </is>
      </c>
      <c r="F23" s="15" t="inlineStr">
        <is>
          <t>No supplier security policy — vendors not assessed before onboarding</t>
        </is>
      </c>
      <c r="G23" s="15" t="inlineStr">
        <is>
          <t>Draft Supplier Security Policy; conduct security assessment for all critical vendors</t>
        </is>
      </c>
    </row>
    <row r="24" ht="44" customHeight="1">
      <c r="A24" s="17" t="n">
        <v>20</v>
      </c>
      <c r="B24" s="17" t="inlineStr">
        <is>
          <t>A.5.20</t>
        </is>
      </c>
      <c r="C24" s="18" t="inlineStr">
        <is>
          <t>Addressing information security in supplier agreements</t>
        </is>
      </c>
      <c r="D24" s="30" t="inlineStr">
        <is>
          <t>Organisational</t>
        </is>
      </c>
      <c r="E24" s="31" t="inlineStr">
        <is>
          <t>Not Implemented</t>
        </is>
      </c>
      <c r="F24" s="18" t="inlineStr">
        <is>
          <t>Vendor contracts lack security clauses — no data protection or incident notification requirements</t>
        </is>
      </c>
      <c r="G24" s="18" t="inlineStr">
        <is>
          <t>Update all vendor contracts to include: security requirements, audit rights, breach notification, data handling</t>
        </is>
      </c>
    </row>
    <row r="25" ht="44" customHeight="1">
      <c r="A25" s="14" t="n">
        <v>21</v>
      </c>
      <c r="B25" s="14" t="inlineStr">
        <is>
          <t>A.6.1</t>
        </is>
      </c>
      <c r="C25" s="15" t="inlineStr">
        <is>
          <t>Screening</t>
        </is>
      </c>
      <c r="D25" s="32" t="inlineStr">
        <is>
          <t>People</t>
        </is>
      </c>
      <c r="E25" s="31" t="inlineStr">
        <is>
          <t>Not Implemented</t>
        </is>
      </c>
      <c r="F25" s="15" t="inlineStr">
        <is>
          <t>Background checks not conducted for employees handling sensitive data</t>
        </is>
      </c>
      <c r="G25" s="15" t="inlineStr">
        <is>
          <t>Implement pre-employment background verification for all roles with access to customer data</t>
        </is>
      </c>
    </row>
    <row r="26" ht="44" customHeight="1">
      <c r="A26" s="17" t="n">
        <v>22</v>
      </c>
      <c r="B26" s="17" t="inlineStr">
        <is>
          <t>A.6.2</t>
        </is>
      </c>
      <c r="C26" s="18" t="inlineStr">
        <is>
          <t>Terms and conditions of employment</t>
        </is>
      </c>
      <c r="D26" s="32" t="inlineStr">
        <is>
          <t>People</t>
        </is>
      </c>
      <c r="E26" s="31" t="inlineStr">
        <is>
          <t>Not Implemented</t>
        </is>
      </c>
      <c r="F26" s="18" t="inlineStr">
        <is>
          <t>Employment contracts do not include information security responsibilities</t>
        </is>
      </c>
      <c r="G26" s="18" t="inlineStr">
        <is>
          <t>Update employment contracts to include security obligations, confidentiality, and acceptable use</t>
        </is>
      </c>
    </row>
    <row r="27" ht="44" customHeight="1">
      <c r="A27" s="14" t="n">
        <v>23</v>
      </c>
      <c r="B27" s="14" t="inlineStr">
        <is>
          <t>A.6.3</t>
        </is>
      </c>
      <c r="C27" s="15" t="inlineStr">
        <is>
          <t>Information security awareness, education and training</t>
        </is>
      </c>
      <c r="D27" s="32" t="inlineStr">
        <is>
          <t>People</t>
        </is>
      </c>
      <c r="E27" s="31" t="inlineStr">
        <is>
          <t>Not Implemented</t>
        </is>
      </c>
      <c r="F27" s="15" t="inlineStr">
        <is>
          <t>No security awareness training programme exists — staff untrained</t>
        </is>
      </c>
      <c r="G27" s="15" t="inlineStr">
        <is>
          <t>Implement mandatory annual security awareness training; phishing simulation quarterly</t>
        </is>
      </c>
    </row>
    <row r="28" ht="44" customHeight="1">
      <c r="A28" s="17" t="n">
        <v>24</v>
      </c>
      <c r="B28" s="17" t="inlineStr">
        <is>
          <t>A.6.4</t>
        </is>
      </c>
      <c r="C28" s="18" t="inlineStr">
        <is>
          <t>Disciplinary process</t>
        </is>
      </c>
      <c r="D28" s="32" t="inlineStr">
        <is>
          <t>People</t>
        </is>
      </c>
      <c r="E28" s="31" t="inlineStr">
        <is>
          <t>Not Implemented</t>
        </is>
      </c>
      <c r="F28" s="18" t="inlineStr">
        <is>
          <t>No disciplinary procedure defined for security policy violations</t>
        </is>
      </c>
      <c r="G28" s="18" t="inlineStr">
        <is>
          <t>Define and communicate disciplinary procedure for security violations in HR policy</t>
        </is>
      </c>
    </row>
    <row r="29" ht="44" customHeight="1">
      <c r="A29" s="14" t="n">
        <v>25</v>
      </c>
      <c r="B29" s="14" t="inlineStr">
        <is>
          <t>A.6.5</t>
        </is>
      </c>
      <c r="C29" s="15" t="inlineStr">
        <is>
          <t>Responsibilities after termination or change of employment</t>
        </is>
      </c>
      <c r="D29" s="32" t="inlineStr">
        <is>
          <t>People</t>
        </is>
      </c>
      <c r="E29" s="31" t="inlineStr">
        <is>
          <t>Not Implemented</t>
        </is>
      </c>
      <c r="F29" s="15" t="inlineStr">
        <is>
          <t>Post-employment confidentiality obligations not documented</t>
        </is>
      </c>
      <c r="G29" s="15" t="inlineStr">
        <is>
          <t>Include post-termination confidentiality clauses in employment contracts; conduct exit interview</t>
        </is>
      </c>
    </row>
    <row r="30" ht="44" customHeight="1">
      <c r="A30" s="17" t="n">
        <v>26</v>
      </c>
      <c r="B30" s="17" t="inlineStr">
        <is>
          <t>A.6.6</t>
        </is>
      </c>
      <c r="C30" s="18" t="inlineStr">
        <is>
          <t>Confidentiality or non-disclosure agreements</t>
        </is>
      </c>
      <c r="D30" s="32" t="inlineStr">
        <is>
          <t>People</t>
        </is>
      </c>
      <c r="E30" s="31" t="inlineStr">
        <is>
          <t>Not Implemented</t>
        </is>
      </c>
      <c r="F30" s="18" t="inlineStr">
        <is>
          <t>NDAs not consistently used with contractors and third parties</t>
        </is>
      </c>
      <c r="G30" s="18" t="inlineStr">
        <is>
          <t>Implement NDA process for all contractors, vendors, and third parties before system access</t>
        </is>
      </c>
    </row>
    <row r="31" ht="44" customHeight="1">
      <c r="A31" s="14" t="n">
        <v>27</v>
      </c>
      <c r="B31" s="14" t="inlineStr">
        <is>
          <t>A.6.7</t>
        </is>
      </c>
      <c r="C31" s="15" t="inlineStr">
        <is>
          <t>Remote working</t>
        </is>
      </c>
      <c r="D31" s="32" t="inlineStr">
        <is>
          <t>People</t>
        </is>
      </c>
      <c r="E31" s="31" t="inlineStr">
        <is>
          <t>Not Implemented</t>
        </is>
      </c>
      <c r="F31" s="15" t="inlineStr">
        <is>
          <t>No remote working security policy — staff work from personal networks without controls</t>
        </is>
      </c>
      <c r="G31" s="15" t="inlineStr">
        <is>
          <t>Draft Remote Working Policy; require VPN for all remote access; enforce MFA</t>
        </is>
      </c>
    </row>
    <row r="32" ht="44" customHeight="1">
      <c r="A32" s="17" t="n">
        <v>28</v>
      </c>
      <c r="B32" s="17" t="inlineStr">
        <is>
          <t>A.6.8</t>
        </is>
      </c>
      <c r="C32" s="18" t="inlineStr">
        <is>
          <t>Information security event reporting</t>
        </is>
      </c>
      <c r="D32" s="32" t="inlineStr">
        <is>
          <t>People</t>
        </is>
      </c>
      <c r="E32" s="31" t="inlineStr">
        <is>
          <t>Not Implemented</t>
        </is>
      </c>
      <c r="F32" s="18" t="inlineStr">
        <is>
          <t>No clear channel for staff to report security incidents or suspicious activity</t>
        </is>
      </c>
      <c r="G32" s="18" t="inlineStr">
        <is>
          <t>Establish incident reporting channel (email/hotline); train staff on what and how to report</t>
        </is>
      </c>
    </row>
    <row r="33" ht="44" customHeight="1">
      <c r="A33" s="14" t="n">
        <v>29</v>
      </c>
      <c r="B33" s="14" t="inlineStr">
        <is>
          <t>A.7.1</t>
        </is>
      </c>
      <c r="C33" s="15" t="inlineStr">
        <is>
          <t>Physical security perimeters</t>
        </is>
      </c>
      <c r="D33" s="33" t="inlineStr">
        <is>
          <t>Physical</t>
        </is>
      </c>
      <c r="E33" s="31" t="inlineStr">
        <is>
          <t>Not Implemented</t>
        </is>
      </c>
      <c r="F33" s="15" t="inlineStr">
        <is>
          <t>Server room perimeter not formally defined or protected beyond standard door lock</t>
        </is>
      </c>
      <c r="G33" s="15" t="inlineStr">
        <is>
          <t>Define physical security zones; implement access control for server room and restricted areas</t>
        </is>
      </c>
    </row>
    <row r="34" ht="44" customHeight="1">
      <c r="A34" s="17" t="n">
        <v>30</v>
      </c>
      <c r="B34" s="17" t="inlineStr">
        <is>
          <t>A.7.2</t>
        </is>
      </c>
      <c r="C34" s="18" t="inlineStr">
        <is>
          <t>Physical entry</t>
        </is>
      </c>
      <c r="D34" s="33" t="inlineStr">
        <is>
          <t>Physical</t>
        </is>
      </c>
      <c r="E34" s="31" t="inlineStr">
        <is>
          <t>Not Implemented</t>
        </is>
      </c>
      <c r="F34" s="18" t="inlineStr">
        <is>
          <t>Server room uses basic key lock — no access log, no biometric, no visitor control</t>
        </is>
      </c>
      <c r="G34" s="18" t="inlineStr">
        <is>
          <t>Install electronic access control with audit log; implement visitor escort policy</t>
        </is>
      </c>
    </row>
    <row r="35" ht="44" customHeight="1">
      <c r="A35" s="14" t="n">
        <v>31</v>
      </c>
      <c r="B35" s="14" t="inlineStr">
        <is>
          <t>A.7.3</t>
        </is>
      </c>
      <c r="C35" s="15" t="inlineStr">
        <is>
          <t>Securing offices, rooms and facilities</t>
        </is>
      </c>
      <c r="D35" s="33" t="inlineStr">
        <is>
          <t>Physical</t>
        </is>
      </c>
      <c r="E35" s="31" t="inlineStr">
        <is>
          <t>Not Implemented</t>
        </is>
      </c>
      <c r="F35" s="15" t="inlineStr">
        <is>
          <t>CCTV not installed in server room or key areas — no security guards</t>
        </is>
      </c>
      <c r="G35" s="15" t="inlineStr">
        <is>
          <t>Install CCTV in server room, main entrance, and data handling areas; review footage monthly</t>
        </is>
      </c>
    </row>
    <row r="36" ht="44" customHeight="1">
      <c r="A36" s="17" t="n">
        <v>32</v>
      </c>
      <c r="B36" s="17" t="inlineStr">
        <is>
          <t>A.7.4</t>
        </is>
      </c>
      <c r="C36" s="18" t="inlineStr">
        <is>
          <t>Physical security monitoring</t>
        </is>
      </c>
      <c r="D36" s="33" t="inlineStr">
        <is>
          <t>Physical</t>
        </is>
      </c>
      <c r="E36" s="31" t="inlineStr">
        <is>
          <t>Not Implemented</t>
        </is>
      </c>
      <c r="F36" s="18" t="inlineStr">
        <is>
          <t>No physical security monitoring system in place</t>
        </is>
      </c>
      <c r="G36" s="18" t="inlineStr">
        <is>
          <t>Implement CCTV monitoring; define process for reviewing alerts and footage</t>
        </is>
      </c>
    </row>
    <row r="37" ht="44" customHeight="1">
      <c r="A37" s="14" t="n">
        <v>33</v>
      </c>
      <c r="B37" s="14" t="inlineStr">
        <is>
          <t>A.7.5</t>
        </is>
      </c>
      <c r="C37" s="15" t="inlineStr">
        <is>
          <t>Protecting against physical and environmental threats</t>
        </is>
      </c>
      <c r="D37" s="33" t="inlineStr">
        <is>
          <t>Physical</t>
        </is>
      </c>
      <c r="E37" s="31" t="inlineStr">
        <is>
          <t>Not Implemented</t>
        </is>
      </c>
      <c r="F37" s="15" t="inlineStr">
        <is>
          <t>No environmental controls assessed — UPS, fire suppression, flooding risk not documented</t>
        </is>
      </c>
      <c r="G37" s="15" t="inlineStr">
        <is>
          <t>Conduct environmental risk assessment; verify UPS, fire suppression, and temperature controls in place</t>
        </is>
      </c>
    </row>
    <row r="38" ht="44" customHeight="1">
      <c r="A38" s="17" t="n">
        <v>34</v>
      </c>
      <c r="B38" s="17" t="inlineStr">
        <is>
          <t>A.7.6</t>
        </is>
      </c>
      <c r="C38" s="18" t="inlineStr">
        <is>
          <t>Working in secure areas</t>
        </is>
      </c>
      <c r="D38" s="33" t="inlineStr">
        <is>
          <t>Physical</t>
        </is>
      </c>
      <c r="E38" s="31" t="inlineStr">
        <is>
          <t>Not Implemented</t>
        </is>
      </c>
      <c r="F38" s="18" t="inlineStr">
        <is>
          <t>No clean desk policy — sensitive documents left unattended on desks</t>
        </is>
      </c>
      <c r="G38" s="18" t="inlineStr">
        <is>
          <t>Implement and enforce clean desk policy; provide secure document disposal (shredders)</t>
        </is>
      </c>
    </row>
    <row r="39" ht="44" customHeight="1">
      <c r="A39" s="14" t="n">
        <v>35</v>
      </c>
      <c r="B39" s="14" t="inlineStr">
        <is>
          <t>A.7.7</t>
        </is>
      </c>
      <c r="C39" s="15" t="inlineStr">
        <is>
          <t>Clear desk and clear screen</t>
        </is>
      </c>
      <c r="D39" s="33" t="inlineStr">
        <is>
          <t>Physical</t>
        </is>
      </c>
      <c r="E39" s="31" t="inlineStr">
        <is>
          <t>Not Implemented</t>
        </is>
      </c>
      <c r="F39" s="15" t="inlineStr">
        <is>
          <t>Screens not locked when unattended — no policy enforced</t>
        </is>
      </c>
      <c r="G39" s="15" t="inlineStr">
        <is>
          <t>Enforce screen lock after 5 mins inactivity via GPO; implement clear screen policy</t>
        </is>
      </c>
    </row>
    <row r="40" ht="44" customHeight="1">
      <c r="A40" s="17" t="n">
        <v>36</v>
      </c>
      <c r="B40" s="17" t="inlineStr">
        <is>
          <t>A.7.8</t>
        </is>
      </c>
      <c r="C40" s="18" t="inlineStr">
        <is>
          <t>Equipment siting and protection</t>
        </is>
      </c>
      <c r="D40" s="33" t="inlineStr">
        <is>
          <t>Physical</t>
        </is>
      </c>
      <c r="E40" s="31" t="inlineStr">
        <is>
          <t>Not Implemented</t>
        </is>
      </c>
      <c r="F40" s="18" t="inlineStr">
        <is>
          <t>IT equipment placement not risk-assessed — servers accessible without authorisation</t>
        </is>
      </c>
      <c r="G40" s="18" t="inlineStr">
        <is>
          <t>Relocate sensitive equipment to secure areas; document equipment siting rationale</t>
        </is>
      </c>
    </row>
    <row r="41" ht="44" customHeight="1">
      <c r="A41" s="14" t="n">
        <v>37</v>
      </c>
      <c r="B41" s="14" t="inlineStr">
        <is>
          <t>A.7.9</t>
        </is>
      </c>
      <c r="C41" s="15" t="inlineStr">
        <is>
          <t>Security of assets off-premises</t>
        </is>
      </c>
      <c r="D41" s="33" t="inlineStr">
        <is>
          <t>Physical</t>
        </is>
      </c>
      <c r="E41" s="31" t="inlineStr">
        <is>
          <t>Not Implemented</t>
        </is>
      </c>
      <c r="F41" s="15" t="inlineStr">
        <is>
          <t>No policy for securing laptops and devices used off-site</t>
        </is>
      </c>
      <c r="G41" s="15" t="inlineStr">
        <is>
          <t>Implement device encryption (BitLocker/FileVault); define acceptable use for off-site devices</t>
        </is>
      </c>
    </row>
    <row r="42" ht="44" customHeight="1">
      <c r="A42" s="17" t="n">
        <v>38</v>
      </c>
      <c r="B42" s="17" t="inlineStr">
        <is>
          <t>A.7.10</t>
        </is>
      </c>
      <c r="C42" s="18" t="inlineStr">
        <is>
          <t>Storage media</t>
        </is>
      </c>
      <c r="D42" s="33" t="inlineStr">
        <is>
          <t>Physical</t>
        </is>
      </c>
      <c r="E42" s="31" t="inlineStr">
        <is>
          <t>Not Implemented</t>
        </is>
      </c>
      <c r="F42" s="18" t="inlineStr">
        <is>
          <t>No procedure for secure disposal of storage media — old drives not sanitised</t>
        </is>
      </c>
      <c r="G42" s="18" t="inlineStr">
        <is>
          <t>Implement media disposal procedure: cryptographic erasure or physical destruction; maintain disposal log</t>
        </is>
      </c>
    </row>
    <row r="43" ht="44" customHeight="1">
      <c r="A43" s="14" t="n">
        <v>39</v>
      </c>
      <c r="B43" s="14" t="inlineStr">
        <is>
          <t>A.7.11</t>
        </is>
      </c>
      <c r="C43" s="15" t="inlineStr">
        <is>
          <t>Supporting utilities</t>
        </is>
      </c>
      <c r="D43" s="33" t="inlineStr">
        <is>
          <t>Physical</t>
        </is>
      </c>
      <c r="E43" s="31" t="inlineStr">
        <is>
          <t>Not Implemented</t>
        </is>
      </c>
      <c r="F43" s="15" t="inlineStr">
        <is>
          <t>UPS status not monitored — no documented testing schedule</t>
        </is>
      </c>
      <c r="G43" s="15" t="inlineStr">
        <is>
          <t>Test UPS quarterly; document test results; implement automated alerts for power anomalies</t>
        </is>
      </c>
    </row>
    <row r="44" ht="44" customHeight="1">
      <c r="A44" s="17" t="n">
        <v>40</v>
      </c>
      <c r="B44" s="17" t="inlineStr">
        <is>
          <t>A.7.12</t>
        </is>
      </c>
      <c r="C44" s="18" t="inlineStr">
        <is>
          <t>Cabling security</t>
        </is>
      </c>
      <c r="D44" s="33" t="inlineStr">
        <is>
          <t>Physical</t>
        </is>
      </c>
      <c r="E44" s="31" t="inlineStr">
        <is>
          <t>Not Implemented</t>
        </is>
      </c>
      <c r="F44" s="18" t="inlineStr">
        <is>
          <t>Network cabling not labelled or protected — risk of accidental disconnection or tampering</t>
        </is>
      </c>
      <c r="G44" s="18" t="inlineStr">
        <is>
          <t>Label all network cables; implement cable management; restrict access to network closets</t>
        </is>
      </c>
    </row>
    <row r="45" ht="44" customHeight="1">
      <c r="A45" s="14" t="n">
        <v>41</v>
      </c>
      <c r="B45" s="14" t="inlineStr">
        <is>
          <t>A.7.13</t>
        </is>
      </c>
      <c r="C45" s="15" t="inlineStr">
        <is>
          <t>Equipment maintenance</t>
        </is>
      </c>
      <c r="D45" s="33" t="inlineStr">
        <is>
          <t>Physical</t>
        </is>
      </c>
      <c r="E45" s="31" t="inlineStr">
        <is>
          <t>Not Implemented</t>
        </is>
      </c>
      <c r="F45" s="15" t="inlineStr">
        <is>
          <t>No equipment maintenance schedule — hardware failures not proactively managed</t>
        </is>
      </c>
      <c r="G45" s="15" t="inlineStr">
        <is>
          <t>Implement preventive maintenance schedule; document all maintenance activities</t>
        </is>
      </c>
    </row>
    <row r="46" ht="44" customHeight="1">
      <c r="A46" s="17" t="n">
        <v>42</v>
      </c>
      <c r="B46" s="17" t="inlineStr">
        <is>
          <t>A.7.14</t>
        </is>
      </c>
      <c r="C46" s="18" t="inlineStr">
        <is>
          <t>Secure disposal or re-use of equipment</t>
        </is>
      </c>
      <c r="D46" s="33" t="inlineStr">
        <is>
          <t>Physical</t>
        </is>
      </c>
      <c r="E46" s="31" t="inlineStr">
        <is>
          <t>Not Implemented</t>
        </is>
      </c>
      <c r="F46" s="18" t="inlineStr">
        <is>
          <t>Decommissioned equipment not formally sanitised — risk of data remanence</t>
        </is>
      </c>
      <c r="G46" s="18" t="inlineStr">
        <is>
          <t>Implement secure disposal procedure; require certificate of destruction from disposal vendor</t>
        </is>
      </c>
    </row>
    <row r="47" ht="44" customHeight="1">
      <c r="A47" s="14" t="n">
        <v>43</v>
      </c>
      <c r="B47" s="14" t="inlineStr">
        <is>
          <t>A.8.1</t>
        </is>
      </c>
      <c r="C47" s="15" t="inlineStr">
        <is>
          <t>User endpoint devices</t>
        </is>
      </c>
      <c r="D47" s="34" t="inlineStr">
        <is>
          <t>Technological</t>
        </is>
      </c>
      <c r="E47" s="31" t="inlineStr">
        <is>
          <t>Not Implemented</t>
        </is>
      </c>
      <c r="F47" s="15" t="inlineStr">
        <is>
          <t>No endpoint security policy — personal and corporate devices not distinguished</t>
        </is>
      </c>
      <c r="G47" s="15" t="inlineStr">
        <is>
          <t>Implement MDM; enforce endpoint protection software; define acceptable device configurations</t>
        </is>
      </c>
    </row>
    <row r="48" ht="44" customHeight="1">
      <c r="A48" s="17" t="n">
        <v>44</v>
      </c>
      <c r="B48" s="17" t="inlineStr">
        <is>
          <t>A.8.2</t>
        </is>
      </c>
      <c r="C48" s="18" t="inlineStr">
        <is>
          <t>Privileged access rights</t>
        </is>
      </c>
      <c r="D48" s="34" t="inlineStr">
        <is>
          <t>Technological</t>
        </is>
      </c>
      <c r="E48" s="31" t="inlineStr">
        <is>
          <t>Not Implemented</t>
        </is>
      </c>
      <c r="F48" s="18" t="inlineStr">
        <is>
          <t>Admin accounts not separated from standard accounts — shared admin credentials observed</t>
        </is>
      </c>
      <c r="G48" s="18" t="inlineStr">
        <is>
          <t>Implement PAM solution; separate admin and standard accounts; enforce MFA on all admin access</t>
        </is>
      </c>
    </row>
    <row r="49" ht="44" customHeight="1">
      <c r="A49" s="14" t="n">
        <v>45</v>
      </c>
      <c r="B49" s="14" t="inlineStr">
        <is>
          <t>A.8.3</t>
        </is>
      </c>
      <c r="C49" s="15" t="inlineStr">
        <is>
          <t>Information access restriction</t>
        </is>
      </c>
      <c r="D49" s="34" t="inlineStr">
        <is>
          <t>Technological</t>
        </is>
      </c>
      <c r="E49" s="31" t="inlineStr">
        <is>
          <t>Not Implemented</t>
        </is>
      </c>
      <c r="F49" s="15" t="inlineStr">
        <is>
          <t>Access not restricted based on role — over-provisioned accounts common</t>
        </is>
      </c>
      <c r="G49" s="15" t="inlineStr">
        <is>
          <t>Implement RBAC (Role-Based Access Control) across all systems; review quarterly</t>
        </is>
      </c>
    </row>
    <row r="50" ht="44" customHeight="1">
      <c r="A50" s="17" t="n">
        <v>46</v>
      </c>
      <c r="B50" s="17" t="inlineStr">
        <is>
          <t>A.8.4</t>
        </is>
      </c>
      <c r="C50" s="18" t="inlineStr">
        <is>
          <t>Access to source code</t>
        </is>
      </c>
      <c r="D50" s="34" t="inlineStr">
        <is>
          <t>Technological</t>
        </is>
      </c>
      <c r="E50" s="31" t="inlineStr">
        <is>
          <t>Not Implemented</t>
        </is>
      </c>
      <c r="F50" s="18" t="inlineStr">
        <is>
          <t>Source code repository access not restricted — all developers have full access</t>
        </is>
      </c>
      <c r="G50" s="18" t="inlineStr">
        <is>
          <t>Implement branch protection; restrict production deployment to senior engineers only</t>
        </is>
      </c>
    </row>
    <row r="51" ht="44" customHeight="1">
      <c r="A51" s="14" t="n">
        <v>47</v>
      </c>
      <c r="B51" s="14" t="inlineStr">
        <is>
          <t>A.8.5</t>
        </is>
      </c>
      <c r="C51" s="15" t="inlineStr">
        <is>
          <t>Secure authentication</t>
        </is>
      </c>
      <c r="D51" s="34" t="inlineStr">
        <is>
          <t>Technological</t>
        </is>
      </c>
      <c r="E51" s="31" t="inlineStr">
        <is>
          <t>Not Implemented</t>
        </is>
      </c>
      <c r="F51" s="15" t="inlineStr">
        <is>
          <t>MFA not enforced — single-factor authentication on critical systems</t>
        </is>
      </c>
      <c r="G51" s="15" t="inlineStr">
        <is>
          <t>Mandate MFA for all systems; implement SSO with MFA for corporate applications</t>
        </is>
      </c>
    </row>
    <row r="52" ht="44" customHeight="1">
      <c r="A52" s="17" t="n">
        <v>48</v>
      </c>
      <c r="B52" s="17" t="inlineStr">
        <is>
          <t>A.8.6</t>
        </is>
      </c>
      <c r="C52" s="18" t="inlineStr">
        <is>
          <t>Capacity management</t>
        </is>
      </c>
      <c r="D52" s="34" t="inlineStr">
        <is>
          <t>Technological</t>
        </is>
      </c>
      <c r="E52" s="31" t="inlineStr">
        <is>
          <t>Not Implemented</t>
        </is>
      </c>
      <c r="F52" s="18" t="inlineStr">
        <is>
          <t>No capacity monitoring in place — system resource limits not tracked</t>
        </is>
      </c>
      <c r="G52" s="18" t="inlineStr">
        <is>
          <t>Implement CloudWatch monitoring; set alerts for CPU, memory, and storage thresholds</t>
        </is>
      </c>
    </row>
    <row r="53" ht="44" customHeight="1">
      <c r="A53" s="14" t="n">
        <v>49</v>
      </c>
      <c r="B53" s="14" t="inlineStr">
        <is>
          <t>A.8.7</t>
        </is>
      </c>
      <c r="C53" s="15" t="inlineStr">
        <is>
          <t>Protection against malware</t>
        </is>
      </c>
      <c r="D53" s="34" t="inlineStr">
        <is>
          <t>Technological</t>
        </is>
      </c>
      <c r="E53" s="31" t="inlineStr">
        <is>
          <t>Not Implemented</t>
        </is>
      </c>
      <c r="F53" s="15" t="inlineStr">
        <is>
          <t>No endpoint anti-malware deployed on employee devices</t>
        </is>
      </c>
      <c r="G53" s="15" t="inlineStr">
        <is>
          <t>Deploy endpoint protection across all devices; configure automatic updates and real-time scanning</t>
        </is>
      </c>
    </row>
    <row r="54" ht="44" customHeight="1">
      <c r="A54" s="17" t="n">
        <v>50</v>
      </c>
      <c r="B54" s="17" t="inlineStr">
        <is>
          <t>A.8.8</t>
        </is>
      </c>
      <c r="C54" s="18" t="inlineStr">
        <is>
          <t>Management of technical vulnerabilities</t>
        </is>
      </c>
      <c r="D54" s="34" t="inlineStr">
        <is>
          <t>Technological</t>
        </is>
      </c>
      <c r="E54" s="31" t="inlineStr">
        <is>
          <t>Not Implemented</t>
        </is>
      </c>
      <c r="F54" s="18" t="inlineStr">
        <is>
          <t>No vulnerability scanning programme — CVEs not tracked or patched systematically</t>
        </is>
      </c>
      <c r="G54" s="18" t="inlineStr">
        <is>
          <t>Implement monthly vulnerability scanning; define patch management SLA by severity</t>
        </is>
      </c>
    </row>
    <row r="55" ht="44" customHeight="1">
      <c r="A55" s="14" t="n">
        <v>51</v>
      </c>
      <c r="B55" s="14" t="inlineStr">
        <is>
          <t>A.8.9</t>
        </is>
      </c>
      <c r="C55" s="15" t="inlineStr">
        <is>
          <t>Configuration management</t>
        </is>
      </c>
      <c r="D55" s="34" t="inlineStr">
        <is>
          <t>Technological</t>
        </is>
      </c>
      <c r="E55" s="31" t="inlineStr">
        <is>
          <t>Not Implemented</t>
        </is>
      </c>
      <c r="F55" s="15" t="inlineStr">
        <is>
          <t>No baseline configuration defined — servers configured inconsistently</t>
        </is>
      </c>
      <c r="G55" s="15" t="inlineStr">
        <is>
          <t>Define CIS Benchmark baselines for AWS; implement Infrastructure as Code (IaC) for consistent configs</t>
        </is>
      </c>
    </row>
    <row r="56" ht="44" customHeight="1">
      <c r="A56" s="17" t="n">
        <v>52</v>
      </c>
      <c r="B56" s="17" t="inlineStr">
        <is>
          <t>A.8.10</t>
        </is>
      </c>
      <c r="C56" s="18" t="inlineStr">
        <is>
          <t>Information deletion</t>
        </is>
      </c>
      <c r="D56" s="34" t="inlineStr">
        <is>
          <t>Technological</t>
        </is>
      </c>
      <c r="E56" s="31" t="inlineStr">
        <is>
          <t>Not Implemented</t>
        </is>
      </c>
      <c r="F56" s="18" t="inlineStr">
        <is>
          <t>No automated data deletion — customer data retained indefinitely</t>
        </is>
      </c>
      <c r="G56" s="18" t="inlineStr">
        <is>
          <t>Implement automated data lifecycle policy; delete data per retention schedule</t>
        </is>
      </c>
    </row>
    <row r="57" ht="44" customHeight="1">
      <c r="A57" s="14" t="n">
        <v>53</v>
      </c>
      <c r="B57" s="14" t="inlineStr">
        <is>
          <t>A.8.11</t>
        </is>
      </c>
      <c r="C57" s="15" t="inlineStr">
        <is>
          <t>Data masking</t>
        </is>
      </c>
      <c r="D57" s="34" t="inlineStr">
        <is>
          <t>Technological</t>
        </is>
      </c>
      <c r="E57" s="31" t="inlineStr">
        <is>
          <t>Not Implemented</t>
        </is>
      </c>
      <c r="F57" s="15" t="inlineStr">
        <is>
          <t>Production data used in testing — real customer data exposed to developers</t>
        </is>
      </c>
      <c r="G57" s="15" t="inlineStr">
        <is>
          <t>Implement data masking for all non-production environments; no real PII in test/dev</t>
        </is>
      </c>
    </row>
    <row r="58" ht="44" customHeight="1">
      <c r="A58" s="17" t="n">
        <v>54</v>
      </c>
      <c r="B58" s="17" t="inlineStr">
        <is>
          <t>A.8.12</t>
        </is>
      </c>
      <c r="C58" s="18" t="inlineStr">
        <is>
          <t>Data leakage prevention</t>
        </is>
      </c>
      <c r="D58" s="34" t="inlineStr">
        <is>
          <t>Technological</t>
        </is>
      </c>
      <c r="E58" s="31" t="inlineStr">
        <is>
          <t>Not Implemented</t>
        </is>
      </c>
      <c r="F58" s="18" t="inlineStr">
        <is>
          <t>No DLP controls — sensitive data can be freely emailed or uploaded externally</t>
        </is>
      </c>
      <c r="G58" s="18" t="inlineStr">
        <is>
          <t>Assess DLP tooling; at minimum implement email DLP rules for PII and payment data</t>
        </is>
      </c>
    </row>
    <row r="59" ht="44" customHeight="1">
      <c r="A59" s="14" t="n">
        <v>55</v>
      </c>
      <c r="B59" s="14" t="inlineStr">
        <is>
          <t>A.8.13</t>
        </is>
      </c>
      <c r="C59" s="15" t="inlineStr">
        <is>
          <t>Information backup</t>
        </is>
      </c>
      <c r="D59" s="34" t="inlineStr">
        <is>
          <t>Technological</t>
        </is>
      </c>
      <c r="E59" s="31" t="inlineStr">
        <is>
          <t>Not Implemented</t>
        </is>
      </c>
      <c r="F59" s="15" t="inlineStr">
        <is>
          <t>Backups not tested — no documented recovery test performed</t>
        </is>
      </c>
      <c r="G59" s="15" t="inlineStr">
        <is>
          <t>Implement and document quarterly backup restore tests; log results and remediate failures</t>
        </is>
      </c>
    </row>
    <row r="60" ht="44" customHeight="1">
      <c r="A60" s="17" t="n">
        <v>56</v>
      </c>
      <c r="B60" s="17" t="inlineStr">
        <is>
          <t>A.8.14</t>
        </is>
      </c>
      <c r="C60" s="18" t="inlineStr">
        <is>
          <t>Redundancy of information processing facilities</t>
        </is>
      </c>
      <c r="D60" s="34" t="inlineStr">
        <is>
          <t>Technological</t>
        </is>
      </c>
      <c r="E60" s="31" t="inlineStr">
        <is>
          <t>Not Implemented</t>
        </is>
      </c>
      <c r="F60" s="18" t="inlineStr">
        <is>
          <t>Single-region AWS deployment — no redundancy for critical payment processing</t>
        </is>
      </c>
      <c r="G60" s="18" t="inlineStr">
        <is>
          <t>Design multi-AZ architecture for payment services; implement auto-failover</t>
        </is>
      </c>
    </row>
    <row r="61" ht="44" customHeight="1">
      <c r="A61" s="14" t="n">
        <v>57</v>
      </c>
      <c r="B61" s="14" t="inlineStr">
        <is>
          <t>A.8.15</t>
        </is>
      </c>
      <c r="C61" s="15" t="inlineStr">
        <is>
          <t>Logging</t>
        </is>
      </c>
      <c r="D61" s="34" t="inlineStr">
        <is>
          <t>Technological</t>
        </is>
      </c>
      <c r="E61" s="31" t="inlineStr">
        <is>
          <t>Not Implemented</t>
        </is>
      </c>
      <c r="F61" s="15" t="inlineStr">
        <is>
          <t>Application and infrastructure logging incomplete — no centralised log management</t>
        </is>
      </c>
      <c r="G61" s="15" t="inlineStr">
        <is>
          <t>Enable comprehensive logging across all systems; centralise in SIEM or CloudWatch Logs</t>
        </is>
      </c>
    </row>
    <row r="62" ht="44" customHeight="1">
      <c r="A62" s="17" t="n">
        <v>58</v>
      </c>
      <c r="B62" s="17" t="inlineStr">
        <is>
          <t>A.8.16</t>
        </is>
      </c>
      <c r="C62" s="18" t="inlineStr">
        <is>
          <t>Monitoring activities</t>
        </is>
      </c>
      <c r="D62" s="34" t="inlineStr">
        <is>
          <t>Technological</t>
        </is>
      </c>
      <c r="E62" s="31" t="inlineStr">
        <is>
          <t>Not Implemented</t>
        </is>
      </c>
      <c r="F62" s="18" t="inlineStr">
        <is>
          <t>No security monitoring — logs collected but not reviewed or alerted</t>
        </is>
      </c>
      <c r="G62" s="18" t="inlineStr">
        <is>
          <t>Implement 24/7 log monitoring with alerting; define use cases for security event detection</t>
        </is>
      </c>
    </row>
    <row r="63" ht="44" customHeight="1">
      <c r="A63" s="14" t="n">
        <v>59</v>
      </c>
      <c r="B63" s="14" t="inlineStr">
        <is>
          <t>A.8.17</t>
        </is>
      </c>
      <c r="C63" s="15" t="inlineStr">
        <is>
          <t>Clock synchronisation</t>
        </is>
      </c>
      <c r="D63" s="34" t="inlineStr">
        <is>
          <t>Technological</t>
        </is>
      </c>
      <c r="E63" s="31" t="inlineStr">
        <is>
          <t>Not Implemented</t>
        </is>
      </c>
      <c r="F63" s="15" t="inlineStr">
        <is>
          <t>NTP not verified — system clocks may not be synchronised across infrastructure</t>
        </is>
      </c>
      <c r="G63" s="15" t="inlineStr">
        <is>
          <t>Enforce NTP synchronisation across all systems; verify alignment for log forensic accuracy</t>
        </is>
      </c>
    </row>
    <row r="64" ht="44" customHeight="1">
      <c r="A64" s="17" t="n">
        <v>60</v>
      </c>
      <c r="B64" s="17" t="inlineStr">
        <is>
          <t>A.8.18</t>
        </is>
      </c>
      <c r="C64" s="18" t="inlineStr">
        <is>
          <t>Use of privileged utility programs</t>
        </is>
      </c>
      <c r="D64" s="34" t="inlineStr">
        <is>
          <t>Technological</t>
        </is>
      </c>
      <c r="E64" s="31" t="inlineStr">
        <is>
          <t>Not Implemented</t>
        </is>
      </c>
      <c r="F64" s="18" t="inlineStr">
        <is>
          <t>No controls on use of admin tools — any developer can run privileged commands</t>
        </is>
      </c>
      <c r="G64" s="18" t="inlineStr">
        <is>
          <t>Restrict privileged tool access; require change management approval for admin tool use</t>
        </is>
      </c>
    </row>
    <row r="65" ht="44" customHeight="1">
      <c r="A65" s="14" t="n">
        <v>61</v>
      </c>
      <c r="B65" s="14" t="inlineStr">
        <is>
          <t>A.8.19</t>
        </is>
      </c>
      <c r="C65" s="15" t="inlineStr">
        <is>
          <t>Installation of software on operational systems</t>
        </is>
      </c>
      <c r="D65" s="34" t="inlineStr">
        <is>
          <t>Technological</t>
        </is>
      </c>
      <c r="E65" s="31" t="inlineStr">
        <is>
          <t>Not Implemented</t>
        </is>
      </c>
      <c r="F65" s="15" t="inlineStr">
        <is>
          <t>No software installation policy — employees install unapproved software</t>
        </is>
      </c>
      <c r="G65" s="15" t="inlineStr">
        <is>
          <t>Implement application whitelisting; restrict non-admin software installation via MDM</t>
        </is>
      </c>
    </row>
    <row r="66" ht="44" customHeight="1">
      <c r="A66" s="17" t="n">
        <v>62</v>
      </c>
      <c r="B66" s="17" t="inlineStr">
        <is>
          <t>A.8.20</t>
        </is>
      </c>
      <c r="C66" s="18" t="inlineStr">
        <is>
          <t>Networks security</t>
        </is>
      </c>
      <c r="D66" s="34" t="inlineStr">
        <is>
          <t>Technological</t>
        </is>
      </c>
      <c r="E66" s="31" t="inlineStr">
        <is>
          <t>Not Implemented</t>
        </is>
      </c>
      <c r="F66" s="18" t="inlineStr">
        <is>
          <t>Network segmentation not implemented — all systems on same flat network</t>
        </is>
      </c>
      <c r="G66" s="18" t="inlineStr">
        <is>
          <t>Implement network segmentation: separate production, development, and admin networks</t>
        </is>
      </c>
    </row>
    <row r="67" ht="44" customHeight="1">
      <c r="A67" s="14" t="n">
        <v>63</v>
      </c>
      <c r="B67" s="14" t="inlineStr">
        <is>
          <t>A.8.21</t>
        </is>
      </c>
      <c r="C67" s="15" t="inlineStr">
        <is>
          <t>Security of network services</t>
        </is>
      </c>
      <c r="D67" s="34" t="inlineStr">
        <is>
          <t>Technological</t>
        </is>
      </c>
      <c r="E67" s="31" t="inlineStr">
        <is>
          <t>Not Implemented</t>
        </is>
      </c>
      <c r="F67" s="15" t="inlineStr">
        <is>
          <t>No formal agreement with internet/cloud service providers on security standards</t>
        </is>
      </c>
      <c r="G67" s="15" t="inlineStr">
        <is>
          <t>Review AWS Shared Responsibility Model; document security responsibilities; add SLA requirements</t>
        </is>
      </c>
    </row>
    <row r="68" ht="44" customHeight="1">
      <c r="A68" s="17" t="n">
        <v>64</v>
      </c>
      <c r="B68" s="17" t="inlineStr">
        <is>
          <t>A.8.22</t>
        </is>
      </c>
      <c r="C68" s="18" t="inlineStr">
        <is>
          <t>Segregation of networks</t>
        </is>
      </c>
      <c r="D68" s="34" t="inlineStr">
        <is>
          <t>Technological</t>
        </is>
      </c>
      <c r="E68" s="31" t="inlineStr">
        <is>
          <t>Not Implemented</t>
        </is>
      </c>
      <c r="F68" s="18" t="inlineStr">
        <is>
          <t>Development and production environments share the same network</t>
        </is>
      </c>
      <c r="G68" s="18" t="inlineStr">
        <is>
          <t>Implement separate VPCs for production and development; enforce strict access controls between them</t>
        </is>
      </c>
    </row>
    <row r="69" ht="44" customHeight="1">
      <c r="A69" s="14" t="n">
        <v>65</v>
      </c>
      <c r="B69" s="14" t="inlineStr">
        <is>
          <t>A.8.23</t>
        </is>
      </c>
      <c r="C69" s="15" t="inlineStr">
        <is>
          <t>Web filtering</t>
        </is>
      </c>
      <c r="D69" s="34" t="inlineStr">
        <is>
          <t>Technological</t>
        </is>
      </c>
      <c r="E69" s="31" t="inlineStr">
        <is>
          <t>Not Implemented</t>
        </is>
      </c>
      <c r="F69" s="15" t="inlineStr">
        <is>
          <t>No web content filtering — employees can access any website on corporate network</t>
        </is>
      </c>
      <c r="G69" s="15" t="inlineStr">
        <is>
          <t>Implement DNS-based web filtering; block malicious domains; log web access for audit</t>
        </is>
      </c>
    </row>
    <row r="70" ht="44" customHeight="1">
      <c r="A70" s="17" t="n">
        <v>66</v>
      </c>
      <c r="B70" s="17" t="inlineStr">
        <is>
          <t>A.8.24</t>
        </is>
      </c>
      <c r="C70" s="18" t="inlineStr">
        <is>
          <t>Use of cryptography</t>
        </is>
      </c>
      <c r="D70" s="34" t="inlineStr">
        <is>
          <t>Technological</t>
        </is>
      </c>
      <c r="E70" s="31" t="inlineStr">
        <is>
          <t>Not Implemented</t>
        </is>
      </c>
      <c r="F70" s="18" t="inlineStr">
        <is>
          <t>No cryptography policy — inconsistent encryption standards used across systems</t>
        </is>
      </c>
      <c r="G70" s="18" t="inlineStr">
        <is>
          <t>Define cryptography policy (AES-256 for data at rest, TLS 1.2+ for data in transit); enforce via configuration</t>
        </is>
      </c>
    </row>
    <row r="71" ht="44" customHeight="1">
      <c r="A71" s="14" t="n">
        <v>67</v>
      </c>
      <c r="B71" s="14" t="inlineStr">
        <is>
          <t>A.8.25</t>
        </is>
      </c>
      <c r="C71" s="15" t="inlineStr">
        <is>
          <t>Secure development lifecycle</t>
        </is>
      </c>
      <c r="D71" s="34" t="inlineStr">
        <is>
          <t>Technological</t>
        </is>
      </c>
      <c r="E71" s="31" t="inlineStr">
        <is>
          <t>Not Implemented</t>
        </is>
      </c>
      <c r="F71" s="15" t="inlineStr">
        <is>
          <t>No formal SDLC security process — security testing ad-hoc and inconsistent</t>
        </is>
      </c>
      <c r="G71" s="15" t="inlineStr">
        <is>
          <t>Implement SSDLC: security requirements in design, SAST in CI/CD, DAST before release, pen test annually</t>
        </is>
      </c>
    </row>
    <row r="72" ht="44" customHeight="1">
      <c r="A72" s="17" t="n">
        <v>68</v>
      </c>
      <c r="B72" s="17" t="inlineStr">
        <is>
          <t>A.8.26</t>
        </is>
      </c>
      <c r="C72" s="18" t="inlineStr">
        <is>
          <t>Application security requirements</t>
        </is>
      </c>
      <c r="D72" s="34" t="inlineStr">
        <is>
          <t>Technological</t>
        </is>
      </c>
      <c r="E72" s="31" t="inlineStr">
        <is>
          <t>Not Implemented</t>
        </is>
      </c>
      <c r="F72" s="18" t="inlineStr">
        <is>
          <t>Security requirements not formally defined for payment application</t>
        </is>
      </c>
      <c r="G72" s="18" t="inlineStr">
        <is>
          <t>Define application security requirements aligned to OWASP Top 10 and PCI-DSS</t>
        </is>
      </c>
    </row>
    <row r="73" ht="44" customHeight="1">
      <c r="A73" s="14" t="n">
        <v>69</v>
      </c>
      <c r="B73" s="14" t="inlineStr">
        <is>
          <t>A.8.27</t>
        </is>
      </c>
      <c r="C73" s="15" t="inlineStr">
        <is>
          <t>Secure system architecture and engineering principles</t>
        </is>
      </c>
      <c r="D73" s="34" t="inlineStr">
        <is>
          <t>Technological</t>
        </is>
      </c>
      <c r="E73" s="31" t="inlineStr">
        <is>
          <t>Not Implemented</t>
        </is>
      </c>
      <c r="F73" s="15" t="inlineStr">
        <is>
          <t>No secure architecture principles documented or enforced</t>
        </is>
      </c>
      <c r="G73" s="15" t="inlineStr">
        <is>
          <t>Adopt and document secure architecture principles: defence in depth, least privilege, zero trust</t>
        </is>
      </c>
    </row>
    <row r="74" ht="44" customHeight="1">
      <c r="A74" s="17" t="n">
        <v>70</v>
      </c>
      <c r="B74" s="17" t="inlineStr">
        <is>
          <t>A.8.28</t>
        </is>
      </c>
      <c r="C74" s="18" t="inlineStr">
        <is>
          <t>Secure coding</t>
        </is>
      </c>
      <c r="D74" s="34" t="inlineStr">
        <is>
          <t>Technological</t>
        </is>
      </c>
      <c r="E74" s="31" t="inlineStr">
        <is>
          <t>Not Implemented</t>
        </is>
      </c>
      <c r="F74" s="18" t="inlineStr">
        <is>
          <t>No secure coding standards — developers not trained in secure coding practices</t>
        </is>
      </c>
      <c r="G74" s="18" t="inlineStr">
        <is>
          <t>Adopt OWASP Secure Coding Practices; mandatory secure coding training for all developers</t>
        </is>
      </c>
    </row>
    <row r="75" ht="44" customHeight="1">
      <c r="A75" s="14" t="n">
        <v>71</v>
      </c>
      <c r="B75" s="14" t="inlineStr">
        <is>
          <t>A.8.29</t>
        </is>
      </c>
      <c r="C75" s="15" t="inlineStr">
        <is>
          <t>Security testing in development and acceptance</t>
        </is>
      </c>
      <c r="D75" s="34" t="inlineStr">
        <is>
          <t>Technological</t>
        </is>
      </c>
      <c r="E75" s="31" t="inlineStr">
        <is>
          <t>Not Implemented</t>
        </is>
      </c>
      <c r="F75" s="15" t="inlineStr">
        <is>
          <t>No security testing in development pipeline — vulnerabilities reach production</t>
        </is>
      </c>
      <c r="G75" s="15" t="inlineStr">
        <is>
          <t>Integrate SAST (Semgrep/Bandit) and DAST (OWASP ZAP) into CI/CD pipeline</t>
        </is>
      </c>
    </row>
    <row r="76" ht="44" customHeight="1">
      <c r="A76" s="17" t="n">
        <v>72</v>
      </c>
      <c r="B76" s="17" t="inlineStr">
        <is>
          <t>A.8.30</t>
        </is>
      </c>
      <c r="C76" s="18" t="inlineStr">
        <is>
          <t>Outsourced development</t>
        </is>
      </c>
      <c r="D76" s="34" t="inlineStr">
        <is>
          <t>Technological</t>
        </is>
      </c>
      <c r="E76" s="31" t="inlineStr">
        <is>
          <t>Not Implemented</t>
        </is>
      </c>
      <c r="F76" s="18" t="inlineStr">
        <is>
          <t>No security requirements imposed on outsourced development partners</t>
        </is>
      </c>
      <c r="G76" s="18" t="inlineStr">
        <is>
          <t>Include security requirements in outsourcing contracts; conduct code review of outsourced work</t>
        </is>
      </c>
    </row>
    <row r="77" ht="44" customHeight="1">
      <c r="A77" s="14" t="n">
        <v>73</v>
      </c>
      <c r="B77" s="14" t="inlineStr">
        <is>
          <t>A.8.31</t>
        </is>
      </c>
      <c r="C77" s="15" t="inlineStr">
        <is>
          <t>Separation of development, test and production environments</t>
        </is>
      </c>
      <c r="D77" s="34" t="inlineStr">
        <is>
          <t>Technological</t>
        </is>
      </c>
      <c r="E77" s="31" t="inlineStr">
        <is>
          <t>Not Implemented</t>
        </is>
      </c>
      <c r="F77" s="15" t="inlineStr">
        <is>
          <t>Dev, test, and production environments not fully separated — config drift risk</t>
        </is>
      </c>
      <c r="G77" s="15" t="inlineStr">
        <is>
          <t>Enforce strict environment separation; separate access controls and credentials for each environment</t>
        </is>
      </c>
    </row>
    <row r="78" ht="44" customHeight="1">
      <c r="A78" s="17" t="n">
        <v>74</v>
      </c>
      <c r="B78" s="17" t="inlineStr">
        <is>
          <t>A.8.32</t>
        </is>
      </c>
      <c r="C78" s="18" t="inlineStr">
        <is>
          <t>Change management</t>
        </is>
      </c>
      <c r="D78" s="34" t="inlineStr">
        <is>
          <t>Technological</t>
        </is>
      </c>
      <c r="E78" s="31" t="inlineStr">
        <is>
          <t>Not Implemented</t>
        </is>
      </c>
      <c r="F78" s="18" t="inlineStr">
        <is>
          <t>No formal change management process — changes deployed without review or approval</t>
        </is>
      </c>
      <c r="G78" s="18" t="inlineStr">
        <is>
          <t>Implement Change Management process: change request, risk assessment, approval, testing, rollback plan</t>
        </is>
      </c>
    </row>
    <row r="79" ht="44" customHeight="1">
      <c r="A79" s="14" t="n">
        <v>75</v>
      </c>
      <c r="B79" s="14" t="inlineStr">
        <is>
          <t>A.8.33</t>
        </is>
      </c>
      <c r="C79" s="15" t="inlineStr">
        <is>
          <t>Test information</t>
        </is>
      </c>
      <c r="D79" s="34" t="inlineStr">
        <is>
          <t>Technological</t>
        </is>
      </c>
      <c r="E79" s="31" t="inlineStr">
        <is>
          <t>Not Implemented</t>
        </is>
      </c>
      <c r="F79" s="15" t="inlineStr">
        <is>
          <t>Production data used in test environments — PII exposed to test users</t>
        </is>
      </c>
      <c r="G79" s="15" t="inlineStr">
        <is>
          <t>Implement data masking; use synthetic data for all testing; document and enforce test data policy</t>
        </is>
      </c>
    </row>
    <row r="80" ht="44" customHeight="1">
      <c r="A80" s="17" t="n">
        <v>76</v>
      </c>
      <c r="B80" s="17" t="inlineStr">
        <is>
          <t>A.8.34</t>
        </is>
      </c>
      <c r="C80" s="18" t="inlineStr">
        <is>
          <t>Protection of information systems during audit testing</t>
        </is>
      </c>
      <c r="D80" s="34" t="inlineStr">
        <is>
          <t>Technological</t>
        </is>
      </c>
      <c r="E80" s="31" t="inlineStr">
        <is>
          <t>Not Implemented</t>
        </is>
      </c>
      <c r="F80" s="18" t="inlineStr">
        <is>
          <t>No procedure to protect systems during audit or penetration testing</t>
        </is>
      </c>
      <c r="G80" s="18" t="inlineStr">
        <is>
          <t>Define rules of engagement for any testing; notify relevant teams; monitor for unexpected impacts</t>
        </is>
      </c>
    </row>
  </sheetData>
  <mergeCells count="3">
    <mergeCell ref="A3:G3"/>
    <mergeCell ref="A2:G2"/>
    <mergeCell ref="A1:G1"/>
  </mergeCells>
  <dataValidations count="1">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showDropDown="0" showInputMessage="0" showErrorMessage="0" allowBlank="1" type="list">
      <formula1>"Implemented,Partial,Not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8" defaultRowHeight="15"/>
  <cols>
    <col width="6" customWidth="1" min="1" max="1"/>
    <col width="12" customWidth="1" min="2" max="2"/>
    <col width="35" customWidth="1" min="3" max="3"/>
    <col width="16" customWidth="1" min="4" max="4"/>
    <col width="16" customWidth="1" min="5" max="5"/>
    <col width="28" customWidth="1" min="6" max="6"/>
    <col width="30" customWidth="1" min="7" max="7"/>
  </cols>
  <sheetData>
    <row r="1" ht="34" customHeight="1">
      <c r="A1" s="10" t="inlineStr">
        <is>
          <t>SecureFinX Pvt. Ltd. — Statement of Applicability (SoA)</t>
        </is>
      </c>
    </row>
    <row r="2" ht="18" customHeight="1">
      <c r="A2" s="11" t="inlineStr">
        <is>
          <t>ISO 27001:2022 | Document Version: 1.0 | Prepared by: Tusya Subramaniyan | Status: DRAFT</t>
        </is>
      </c>
    </row>
    <row r="3" ht="36" customHeight="1">
      <c r="A3" s="29" t="inlineStr">
        <is>
          <t>#</t>
        </is>
      </c>
      <c r="B3" s="29" t="inlineStr">
        <is>
          <t>Ref</t>
        </is>
      </c>
      <c r="C3" s="29" t="inlineStr">
        <is>
          <t>Control Name</t>
        </is>
      </c>
      <c r="D3" s="29" t="inlineStr">
        <is>
          <t>Applicable?
(Yes/No)</t>
        </is>
      </c>
      <c r="E3" s="29" t="inlineStr">
        <is>
          <t>Included in ISMS?
(Yes/Partial/No)</t>
        </is>
      </c>
      <c r="F3" s="29" t="inlineStr">
        <is>
          <t>Justification for Inclusion/Exclusion</t>
        </is>
      </c>
      <c r="G3" s="29" t="inlineStr">
        <is>
          <t>Implementation Notes</t>
        </is>
      </c>
    </row>
    <row r="4" ht="44" customHeight="1">
      <c r="A4" s="22" t="n">
        <v>1</v>
      </c>
      <c r="B4" s="22" t="inlineStr">
        <is>
          <t>A.5.1</t>
        </is>
      </c>
      <c r="C4" s="23" t="inlineStr">
        <is>
          <t>Policies for information security</t>
        </is>
      </c>
      <c r="D4" s="22" t="inlineStr">
        <is>
          <t>Yes</t>
        </is>
      </c>
      <c r="E4" s="22" t="inlineStr">
        <is>
          <t>No</t>
        </is>
      </c>
      <c r="F4" s="23" t="inlineStr">
        <is>
          <t>Core requirement — all organisations must have documented policies</t>
        </is>
      </c>
      <c r="G4" s="23" t="inlineStr">
        <is>
          <t>Draft policy suite as Week 2 deliverable</t>
        </is>
      </c>
    </row>
    <row r="5" ht="44" customHeight="1">
      <c r="A5" s="24" t="n">
        <v>2</v>
      </c>
      <c r="B5" s="24" t="inlineStr">
        <is>
          <t>A.5.15</t>
        </is>
      </c>
      <c r="C5" s="25" t="inlineStr">
        <is>
          <t>Access control</t>
        </is>
      </c>
      <c r="D5" s="24" t="inlineStr">
        <is>
          <t>Yes</t>
        </is>
      </c>
      <c r="E5" s="24" t="inlineStr">
        <is>
          <t>Partial</t>
        </is>
      </c>
      <c r="F5" s="25" t="inlineStr">
        <is>
          <t>Customer data requires strict access control — regulatory requirement</t>
        </is>
      </c>
      <c r="G5" s="25" t="inlineStr">
        <is>
          <t>Implement RBAC; access control policy being drafted</t>
        </is>
      </c>
    </row>
    <row r="6" ht="44" customHeight="1">
      <c r="A6" s="22" t="n">
        <v>3</v>
      </c>
      <c r="B6" s="22" t="inlineStr">
        <is>
          <t>A.5.17</t>
        </is>
      </c>
      <c r="C6" s="23" t="inlineStr">
        <is>
          <t>Authentication information</t>
        </is>
      </c>
      <c r="D6" s="22" t="inlineStr">
        <is>
          <t>Yes</t>
        </is>
      </c>
      <c r="E6" s="22" t="inlineStr">
        <is>
          <t>No</t>
        </is>
      </c>
      <c r="F6" s="23" t="inlineStr">
        <is>
          <t>Password weaknesses identified in risk register (R003, R006)</t>
        </is>
      </c>
      <c r="G6" s="23" t="inlineStr">
        <is>
          <t>Password policy to be implemented with MFA enforcement</t>
        </is>
      </c>
    </row>
    <row r="7" ht="44" customHeight="1">
      <c r="A7" s="24" t="n">
        <v>4</v>
      </c>
      <c r="B7" s="24" t="inlineStr">
        <is>
          <t>A.5.19</t>
        </is>
      </c>
      <c r="C7" s="25" t="inlineStr">
        <is>
          <t>Information security in supplier relationships</t>
        </is>
      </c>
      <c r="D7" s="24" t="inlineStr">
        <is>
          <t>Yes</t>
        </is>
      </c>
      <c r="E7" s="24" t="inlineStr">
        <is>
          <t>No</t>
        </is>
      </c>
      <c r="F7" s="25" t="inlineStr">
        <is>
          <t>Third-party risk identified (R005) — vendor assessment required</t>
        </is>
      </c>
      <c r="G7" s="25" t="inlineStr">
        <is>
          <t>Vendor risk assessment programme to be established</t>
        </is>
      </c>
    </row>
    <row r="8" ht="44" customHeight="1">
      <c r="A8" s="22" t="n">
        <v>5</v>
      </c>
      <c r="B8" s="22" t="inlineStr">
        <is>
          <t>A.6.3</t>
        </is>
      </c>
      <c r="C8" s="23" t="inlineStr">
        <is>
          <t>Security awareness training</t>
        </is>
      </c>
      <c r="D8" s="22" t="inlineStr">
        <is>
          <t>Yes</t>
        </is>
      </c>
      <c r="E8" s="22" t="inlineStr">
        <is>
          <t>No</t>
        </is>
      </c>
      <c r="F8" s="23" t="inlineStr">
        <is>
          <t>Human vulnerability identified — social engineering risk (R008)</t>
        </is>
      </c>
      <c r="G8" s="23" t="inlineStr">
        <is>
          <t>Annual training programme to be designed and delivered</t>
        </is>
      </c>
    </row>
    <row r="9" ht="44" customHeight="1">
      <c r="A9" s="24" t="n">
        <v>6</v>
      </c>
      <c r="B9" s="24" t="inlineStr">
        <is>
          <t>A.7.1</t>
        </is>
      </c>
      <c r="C9" s="25" t="inlineStr">
        <is>
          <t>Physical security perimeters</t>
        </is>
      </c>
      <c r="D9" s="24" t="inlineStr">
        <is>
          <t>Yes</t>
        </is>
      </c>
      <c r="E9" s="24" t="inlineStr">
        <is>
          <t>Partial</t>
        </is>
      </c>
      <c r="F9" s="25" t="inlineStr">
        <is>
          <t>Physical office contains networking equipment — access control needed</t>
        </is>
      </c>
      <c r="G9" s="25" t="inlineStr">
        <is>
          <t>Biometric access to be installed in server room</t>
        </is>
      </c>
    </row>
    <row r="10" ht="44" customHeight="1">
      <c r="A10" s="22" t="n">
        <v>7</v>
      </c>
      <c r="B10" s="22" t="inlineStr">
        <is>
          <t>A.8.2</t>
        </is>
      </c>
      <c r="C10" s="23" t="inlineStr">
        <is>
          <t>Privileged access rights</t>
        </is>
      </c>
      <c r="D10" s="22" t="inlineStr">
        <is>
          <t>Yes</t>
        </is>
      </c>
      <c r="E10" s="22" t="inlineStr">
        <is>
          <t>No</t>
        </is>
      </c>
      <c r="F10" s="23" t="inlineStr">
        <is>
          <t>Critical gap — admin accounts not separated (R006)</t>
        </is>
      </c>
      <c r="G10" s="23" t="inlineStr">
        <is>
          <t>PAM solution to be implemented as priority</t>
        </is>
      </c>
    </row>
    <row r="11" ht="44" customHeight="1">
      <c r="A11" s="24" t="n">
        <v>8</v>
      </c>
      <c r="B11" s="24" t="inlineStr">
        <is>
          <t>A.8.5</t>
        </is>
      </c>
      <c r="C11" s="25" t="inlineStr">
        <is>
          <t>Secure authentication</t>
        </is>
      </c>
      <c r="D11" s="24" t="inlineStr">
        <is>
          <t>Yes</t>
        </is>
      </c>
      <c r="E11" s="24" t="inlineStr">
        <is>
          <t>No</t>
        </is>
      </c>
      <c r="F11" s="25" t="inlineStr">
        <is>
          <t>MFA not enforced — high risk finding across multiple assets</t>
        </is>
      </c>
      <c r="G11" s="25" t="inlineStr">
        <is>
          <t>MFA mandate to be enforced across all systems within 30 days</t>
        </is>
      </c>
    </row>
    <row r="12" ht="44" customHeight="1">
      <c r="A12" s="22" t="n">
        <v>9</v>
      </c>
      <c r="B12" s="22" t="inlineStr">
        <is>
          <t>A.8.8</t>
        </is>
      </c>
      <c r="C12" s="23" t="inlineStr">
        <is>
          <t>Management of technical vulnerabilities</t>
        </is>
      </c>
      <c r="D12" s="22" t="inlineStr">
        <is>
          <t>Yes</t>
        </is>
      </c>
      <c r="E12" s="22" t="inlineStr">
        <is>
          <t>No</t>
        </is>
      </c>
      <c r="F12" s="23" t="inlineStr">
        <is>
          <t>No vulnerability scanning — CVE exposure unquantified (R010)</t>
        </is>
      </c>
      <c r="G12" s="23" t="inlineStr">
        <is>
          <t>Monthly scanning with Nessus/Qualys to be implemented</t>
        </is>
      </c>
    </row>
    <row r="13" ht="44" customHeight="1">
      <c r="A13" s="24" t="n">
        <v>10</v>
      </c>
      <c r="B13" s="24" t="inlineStr">
        <is>
          <t>A.8.13</t>
        </is>
      </c>
      <c r="C13" s="25" t="inlineStr">
        <is>
          <t>Information backup</t>
        </is>
      </c>
      <c r="D13" s="24" t="inlineStr">
        <is>
          <t>Yes</t>
        </is>
      </c>
      <c r="E13" s="24" t="inlineStr">
        <is>
          <t>Partial</t>
        </is>
      </c>
      <c r="F13" s="25" t="inlineStr">
        <is>
          <t>Backups exist but not tested — recovery capability unverified (R004)</t>
        </is>
      </c>
      <c r="G13" s="25" t="inlineStr">
        <is>
          <t>Implement quarterly backup restore test; document results</t>
        </is>
      </c>
    </row>
    <row r="14" ht="44" customHeight="1">
      <c r="A14" s="22" t="n">
        <v>11</v>
      </c>
      <c r="B14" s="22" t="inlineStr">
        <is>
          <t>A.8.15</t>
        </is>
      </c>
      <c r="C14" s="23" t="inlineStr">
        <is>
          <t>Logging</t>
        </is>
      </c>
      <c r="D14" s="22" t="inlineStr">
        <is>
          <t>Yes</t>
        </is>
      </c>
      <c r="E14" s="22" t="inlineStr">
        <is>
          <t>No</t>
        </is>
      </c>
      <c r="F14" s="23" t="inlineStr">
        <is>
          <t>Logging incomplete — incident detection capability severely limited (R012)</t>
        </is>
      </c>
      <c r="G14" s="23" t="inlineStr">
        <is>
          <t>Centralise logging in SIEM; define log retention policy</t>
        </is>
      </c>
    </row>
    <row r="15" ht="44" customHeight="1">
      <c r="A15" s="24" t="n">
        <v>12</v>
      </c>
      <c r="B15" s="24" t="inlineStr">
        <is>
          <t>A.8.25</t>
        </is>
      </c>
      <c r="C15" s="25" t="inlineStr">
        <is>
          <t>Secure development lifecycle</t>
        </is>
      </c>
      <c r="D15" s="24" t="inlineStr">
        <is>
          <t>Yes</t>
        </is>
      </c>
      <c r="E15" s="24" t="inlineStr">
        <is>
          <t>No</t>
        </is>
      </c>
      <c r="F15" s="25" t="inlineStr">
        <is>
          <t>No SSDLC — vulnerabilities reaching production (R002, R010)</t>
        </is>
      </c>
      <c r="G15" s="25" t="inlineStr">
        <is>
          <t>Integrate SAST/DAST into CI/CD; mandatory secure coding training</t>
        </is>
      </c>
    </row>
    <row r="16" ht="44" customHeight="1">
      <c r="A16" s="22" t="n">
        <v>13</v>
      </c>
      <c r="B16" s="22" t="inlineStr">
        <is>
          <t>A.8.32</t>
        </is>
      </c>
      <c r="C16" s="23" t="inlineStr">
        <is>
          <t>Change management</t>
        </is>
      </c>
      <c r="D16" s="22" t="inlineStr">
        <is>
          <t>Yes</t>
        </is>
      </c>
      <c r="E16" s="22" t="inlineStr">
        <is>
          <t>No</t>
        </is>
      </c>
      <c r="F16" s="23" t="inlineStr">
        <is>
          <t>Changes deployed without review — production stability risk</t>
        </is>
      </c>
      <c r="G16" s="23" t="inlineStr">
        <is>
          <t>Implement formal Change Advisory Board (CAB) process</t>
        </is>
      </c>
    </row>
    <row r="17">
      <c r="A17" s="35" t="inlineStr">
        <is>
          <t>★  This SoA must be reviewed and approved by senior management before ISO 27001 certification audit. Add all 93 controls from the Gap Analysis sheet for the complete SoA.</t>
        </is>
      </c>
    </row>
  </sheetData>
  <mergeCells count="3">
    <mergeCell ref="A2:G2"/>
    <mergeCell ref="A1:G1"/>
    <mergeCell ref="A17:G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2026-05-09T10:05:24Z</dcterms:created>
  <dcterms:modified xmlns:dcterms="http://purl.org/dc/terms/" xmlns:xsi="http://www.w3.org/2001/XMLSchema-instance" xsi:type="dcterms:W3CDTF">2026-05-09T10:05:25Z</dcterms:modified>
</cp:coreProperties>
</file>